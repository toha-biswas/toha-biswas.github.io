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  <sheet name="Analysi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<sst xmlns="http://schemas.openxmlformats.org/spreadsheetml/2006/main" count="214" uniqueCount="147">
  <si>
    <t xml:space="preserve">STUDENT PERFORMANCE DATA</t>
  </si>
  <si>
    <t xml:space="preserve">Structured academic dataset | 50 students | Prepared for performance analysis</t>
  </si>
  <si>
    <t xml:space="preserve">Student ID</t>
  </si>
  <si>
    <t xml:space="preserve">Student Name</t>
  </si>
  <si>
    <t xml:space="preserve">Department / Class</t>
  </si>
  <si>
    <t xml:space="preserve">Attendance %</t>
  </si>
  <si>
    <t xml:space="preserve">Math</t>
  </si>
  <si>
    <t xml:space="preserve">Physics</t>
  </si>
  <si>
    <t xml:space="preserve">Chemistry</t>
  </si>
  <si>
    <t xml:space="preserve">Total</t>
  </si>
  <si>
    <t xml:space="preserve">Average</t>
  </si>
  <si>
    <t xml:space="preserve">Result</t>
  </si>
  <si>
    <t xml:space="preserve">Improvement</t>
  </si>
  <si>
    <t xml:space="preserve">ST001</t>
  </si>
  <si>
    <t xml:space="preserve">Aarav Sharma</t>
  </si>
  <si>
    <t xml:space="preserve">BCA - Data Science</t>
  </si>
  <si>
    <t xml:space="preserve">ST002</t>
  </si>
  <si>
    <t xml:space="preserve">Aditi Das</t>
  </si>
  <si>
    <t xml:space="preserve">BCA - Cybersecurity</t>
  </si>
  <si>
    <t xml:space="preserve">ST003</t>
  </si>
  <si>
    <t xml:space="preserve">Aditya Singh</t>
  </si>
  <si>
    <t xml:space="preserve">BCA - General</t>
  </si>
  <si>
    <t xml:space="preserve">ST004</t>
  </si>
  <si>
    <t xml:space="preserve">Ananya Roy</t>
  </si>
  <si>
    <t xml:space="preserve">BBA</t>
  </si>
  <si>
    <t xml:space="preserve">ST005</t>
  </si>
  <si>
    <t xml:space="preserve">Arjun Gupta</t>
  </si>
  <si>
    <t xml:space="preserve">B.Sc IT</t>
  </si>
  <si>
    <t xml:space="preserve">ST006</t>
  </si>
  <si>
    <t xml:space="preserve">Diya Bose</t>
  </si>
  <si>
    <t xml:space="preserve">ST007</t>
  </si>
  <si>
    <t xml:space="preserve">Ishaan Dutta</t>
  </si>
  <si>
    <t xml:space="preserve">ST008</t>
  </si>
  <si>
    <t xml:space="preserve">Kavya Saha</t>
  </si>
  <si>
    <t xml:space="preserve">ST009</t>
  </si>
  <si>
    <t xml:space="preserve">Krishna Verma</t>
  </si>
  <si>
    <t xml:space="preserve">ST010</t>
  </si>
  <si>
    <t xml:space="preserve">Meera Khan</t>
  </si>
  <si>
    <t xml:space="preserve">ST011</t>
  </si>
  <si>
    <t xml:space="preserve">Nikhil Sharma</t>
  </si>
  <si>
    <t xml:space="preserve">ST012</t>
  </si>
  <si>
    <t xml:space="preserve">Pooja Das</t>
  </si>
  <si>
    <t xml:space="preserve">ST013</t>
  </si>
  <si>
    <t xml:space="preserve">Priya Singh</t>
  </si>
  <si>
    <t xml:space="preserve">ST014</t>
  </si>
  <si>
    <t xml:space="preserve">Rahul Roy</t>
  </si>
  <si>
    <t xml:space="preserve">ST015</t>
  </si>
  <si>
    <t xml:space="preserve">Riya Gupta</t>
  </si>
  <si>
    <t xml:space="preserve">ST016</t>
  </si>
  <si>
    <t xml:space="preserve">Rohan Bose</t>
  </si>
  <si>
    <t xml:space="preserve">ST017</t>
  </si>
  <si>
    <t xml:space="preserve">Sahil Dutta</t>
  </si>
  <si>
    <t xml:space="preserve">ST018</t>
  </si>
  <si>
    <t xml:space="preserve">Sanya Saha</t>
  </si>
  <si>
    <t xml:space="preserve">ST019</t>
  </si>
  <si>
    <t xml:space="preserve">Shreya Verma</t>
  </si>
  <si>
    <t xml:space="preserve">ST020</t>
  </si>
  <si>
    <t xml:space="preserve">Tanvi Khan</t>
  </si>
  <si>
    <t xml:space="preserve">ST021</t>
  </si>
  <si>
    <t xml:space="preserve">Varun Sharma</t>
  </si>
  <si>
    <t xml:space="preserve">ST022</t>
  </si>
  <si>
    <t xml:space="preserve">Ved Das</t>
  </si>
  <si>
    <t xml:space="preserve">ST023</t>
  </si>
  <si>
    <t xml:space="preserve">Yash Singh</t>
  </si>
  <si>
    <t xml:space="preserve">ST024</t>
  </si>
  <si>
    <t xml:space="preserve">Zoya Roy</t>
  </si>
  <si>
    <t xml:space="preserve">ST025</t>
  </si>
  <si>
    <t xml:space="preserve">Aman Gupta</t>
  </si>
  <si>
    <t xml:space="preserve">ST026</t>
  </si>
  <si>
    <t xml:space="preserve">Anika Bose</t>
  </si>
  <si>
    <t xml:space="preserve">ST027</t>
  </si>
  <si>
    <t xml:space="preserve">Dev Dutta</t>
  </si>
  <si>
    <t xml:space="preserve">ST028</t>
  </si>
  <si>
    <t xml:space="preserve">Ira Saha</t>
  </si>
  <si>
    <t xml:space="preserve">ST029</t>
  </si>
  <si>
    <t xml:space="preserve">Karan Verma</t>
  </si>
  <si>
    <t xml:space="preserve">ST030</t>
  </si>
  <si>
    <t xml:space="preserve">Maya Khan</t>
  </si>
  <si>
    <t xml:space="preserve">ST031</t>
  </si>
  <si>
    <t xml:space="preserve">Neha Sharma</t>
  </si>
  <si>
    <t xml:space="preserve">ST032</t>
  </si>
  <si>
    <t xml:space="preserve">Om Das</t>
  </si>
  <si>
    <t xml:space="preserve">ST033</t>
  </si>
  <si>
    <t xml:space="preserve">Parth Singh</t>
  </si>
  <si>
    <t xml:space="preserve">ST034</t>
  </si>
  <si>
    <t xml:space="preserve">Reyansh Roy</t>
  </si>
  <si>
    <t xml:space="preserve">ST035</t>
  </si>
  <si>
    <t xml:space="preserve">Simran Gupta</t>
  </si>
  <si>
    <t xml:space="preserve">ST036</t>
  </si>
  <si>
    <t xml:space="preserve">Tanya Bose</t>
  </si>
  <si>
    <t xml:space="preserve">ST037</t>
  </si>
  <si>
    <t xml:space="preserve">Vansh Dutta</t>
  </si>
  <si>
    <t xml:space="preserve">ST038</t>
  </si>
  <si>
    <t xml:space="preserve">Vivek Saha</t>
  </si>
  <si>
    <t xml:space="preserve">ST039</t>
  </si>
  <si>
    <t xml:space="preserve">Aisha Verma</t>
  </si>
  <si>
    <t xml:space="preserve">ST040</t>
  </si>
  <si>
    <t xml:space="preserve">Kabir Khan</t>
  </si>
  <si>
    <t xml:space="preserve">ST041</t>
  </si>
  <si>
    <t xml:space="preserve">Naina Sharma</t>
  </si>
  <si>
    <t xml:space="preserve">ST042</t>
  </si>
  <si>
    <t xml:space="preserve">Raj Das</t>
  </si>
  <si>
    <t xml:space="preserve">ST043</t>
  </si>
  <si>
    <t xml:space="preserve">Ritika Singh</t>
  </si>
  <si>
    <t xml:space="preserve">ST044</t>
  </si>
  <si>
    <t xml:space="preserve">Samir Roy</t>
  </si>
  <si>
    <t xml:space="preserve">ST045</t>
  </si>
  <si>
    <t xml:space="preserve">Sneha Gupta</t>
  </si>
  <si>
    <t xml:space="preserve">ST046</t>
  </si>
  <si>
    <t xml:space="preserve">Soham Bose</t>
  </si>
  <si>
    <t xml:space="preserve">ST047</t>
  </si>
  <si>
    <t xml:space="preserve">Trisha Dutta</t>
  </si>
  <si>
    <t xml:space="preserve">ST048</t>
  </si>
  <si>
    <t xml:space="preserve">Utkarsh Saha</t>
  </si>
  <si>
    <t xml:space="preserve">ST049</t>
  </si>
  <si>
    <t xml:space="preserve">Vikram Verma</t>
  </si>
  <si>
    <t xml:space="preserve">ST050</t>
  </si>
  <si>
    <t xml:space="preserve">Yuvraj Khan</t>
  </si>
  <si>
    <t xml:space="preserve">PERFORMANCE ANALYSIS</t>
  </si>
  <si>
    <t xml:space="preserve">Total Students</t>
  </si>
  <si>
    <t xml:space="preserve">Pass Rate</t>
  </si>
  <si>
    <t xml:space="preserve">Overall Average</t>
  </si>
  <si>
    <t xml:space="preserve">Avg Attendance</t>
  </si>
  <si>
    <t xml:space="preserve">SUBJECT PERFORMANCE</t>
  </si>
  <si>
    <t xml:space="preserve">TOP 10 STUDENTS</t>
  </si>
  <si>
    <t xml:space="preserve">Metric</t>
  </si>
  <si>
    <t xml:space="preserve">Rank</t>
  </si>
  <si>
    <t xml:space="preserve">Student</t>
  </si>
  <si>
    <t xml:space="preserve">Highest</t>
  </si>
  <si>
    <t xml:space="preserve">Lowest</t>
  </si>
  <si>
    <t xml:space="preserve">Pass Count</t>
  </si>
  <si>
    <t xml:space="preserve">DEPARTMENT SUMMARY</t>
  </si>
  <si>
    <t xml:space="preserve">Department</t>
  </si>
  <si>
    <t xml:space="preserve">Students</t>
  </si>
  <si>
    <t xml:space="preserve">Avg Marks</t>
  </si>
  <si>
    <t xml:space="preserve">STUDENTS NEEDING IMPROVEMENT</t>
  </si>
  <si>
    <t xml:space="preserve">Attendance</t>
  </si>
  <si>
    <t xml:space="preserve">Reason</t>
  </si>
  <si>
    <t xml:space="preserve">Analyst Note
Use the dashboard to identify performance gaps, compare departments, and investigate whether attendance is associated with academic outcomes.</t>
  </si>
  <si>
    <t xml:space="preserve">PASS VS FAIL SUMMARY</t>
  </si>
  <si>
    <t xml:space="preserve">Status</t>
  </si>
  <si>
    <t xml:space="preserve">Count</t>
  </si>
  <si>
    <t xml:space="preserve">Pass</t>
  </si>
  <si>
    <t xml:space="preserve">Fail</t>
  </si>
  <si>
    <t xml:space="preserve">STUDENT PERFORMANCE DASHBOARD</t>
  </si>
  <si>
    <t xml:space="preserve">Academic performance overview | Excel analytics portfolio project</t>
  </si>
  <si>
    <t xml:space="preserve">Built with Excel formulas, tables, conditional formatting and dashboard charts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</si>
</sst>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%"/>
    <numFmt numFmtId="166" formatCode="0.0"/>
    <numFmt numFmtId="167" formatCode="General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i val="true"/>
      <sz val="10"/>
      <color rgb="FF66737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17324D"/>
      <name val="Cambria"/>
      <family val="0"/>
      <charset val="1"/>
    </font>
    <font>
      <b val="true"/>
      <sz val="14"/>
      <color rgb="FF17324D"/>
      <name val="Cambria"/>
      <family val="0"/>
      <charset val="1"/>
    </font>
    <font>
      <sz val="10"/>
      <color rgb="FF24313A"/>
      <name val="Cambria"/>
      <family val="0"/>
      <charset val="1"/>
    </font>
    <font>
      <sz val="11"/>
      <name val="Calibri"/>
      <family val="0"/>
      <charset val="1"/>
    </font>
    <font>
      <b val="true"/>
      <sz val="24"/>
      <color rgb="FFFFFFFF"/>
      <name val="Cambria"/>
      <family val="0"/>
      <charset val="1"/>
    </font>
    <font>
      <i val="true"/>
      <sz val="11"/>
      <color rgb="FF66737A"/>
      <name val="Cambria"/>
      <family val="0"/>
      <charset val="1"/>
    </font>
    <font>
      <b val="true"/>
      <sz val="20"/>
      <color rgb="FF17324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24313A"/>
      </patternFill>
    </fill>
    <fill>
      <patternFill patternType="solid">
        <fgColor rgb="FFF7F4EC"/>
        <bgColor rgb="FFF9F9F9"/>
      </patternFill>
    </fill>
    <fill>
      <patternFill patternType="solid">
        <fgColor rgb="FF167D7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3"/>
      </left>
      <right style="thin">
        <color rgb="FFD9E0E3"/>
      </right>
      <top style="thin">
        <color rgb="FFD9E0E3"/>
      </top>
      <bottom style="thin">
        <color rgb="FFD9E0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167D7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CEBD2"/>
          <bgColor rgb="FF000000"/>
        </patternFill>
      </fill>
    </dxf>
    <dxf>
      <fill>
        <patternFill patternType="solid">
          <fgColor rgb="FFDEEBD2"/>
          <bgColor rgb="FF000000"/>
        </patternFill>
      </fill>
    </dxf>
    <dxf>
      <fill>
        <patternFill patternType="solid">
          <fgColor rgb="FFE0ECD1"/>
          <bgColor rgb="FF000000"/>
        </patternFill>
      </fill>
    </dxf>
    <dxf>
      <fill>
        <patternFill patternType="solid">
          <fgColor rgb="FFE2ECD1"/>
          <bgColor rgb="FF000000"/>
        </patternFill>
      </fill>
    </dxf>
    <dxf>
      <fill>
        <patternFill patternType="solid">
          <fgColor rgb="FFE4EDD1"/>
          <bgColor rgb="FF000000"/>
        </patternFill>
      </fill>
    </dxf>
    <dxf>
      <fill>
        <patternFill patternType="solid">
          <fgColor rgb="FFE6EDD0"/>
          <bgColor rgb="FF000000"/>
        </patternFill>
      </fill>
    </dxf>
    <dxf>
      <fill>
        <patternFill patternType="solid">
          <fgColor rgb="FFEAEECF"/>
          <bgColor rgb="FF000000"/>
        </patternFill>
      </fill>
    </dxf>
    <dxf>
      <fill>
        <patternFill patternType="solid">
          <fgColor rgb="FFECEECF"/>
          <bgColor rgb="FF000000"/>
        </patternFill>
      </fill>
    </dxf>
    <dxf>
      <fill>
        <patternFill patternType="solid">
          <fgColor rgb="FFF1EFCE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4CECC"/>
          <bgColor rgb="FF000000"/>
        </patternFill>
      </fill>
    </dxf>
    <dxf>
      <fill>
        <patternFill patternType="solid">
          <fgColor rgb="FFF5D0CC"/>
          <bgColor rgb="FF000000"/>
        </patternFill>
      </fill>
    </dxf>
    <dxf>
      <fill>
        <patternFill patternType="solid">
          <fgColor rgb="FFF5D2CC"/>
          <bgColor rgb="FF000000"/>
        </patternFill>
      </fill>
    </dxf>
    <dxf>
      <fill>
        <patternFill patternType="solid">
          <fgColor rgb="FFF5F0CD"/>
          <bgColor rgb="FF000000"/>
        </patternFill>
      </fill>
    </dxf>
    <dxf>
      <fill>
        <patternFill patternType="solid">
          <fgColor rgb="FFF6D4CC"/>
          <bgColor rgb="FF000000"/>
        </patternFill>
      </fill>
    </dxf>
    <dxf>
      <fill>
        <patternFill patternType="solid">
          <fgColor rgb="FFF7D8CC"/>
          <bgColor rgb="FF000000"/>
        </patternFill>
      </fill>
    </dxf>
    <dxf>
      <fill>
        <patternFill patternType="solid">
          <fgColor rgb="FFF8DACC"/>
          <bgColor rgb="FF000000"/>
        </patternFill>
      </fill>
    </dxf>
    <dxf>
      <fill>
        <patternFill patternType="solid">
          <fgColor rgb="FFF9DFCC"/>
          <bgColor rgb="FF000000"/>
        </patternFill>
      </fill>
    </dxf>
    <dxf>
      <fill>
        <patternFill patternType="solid">
          <fgColor rgb="FFF9F1CD"/>
          <bgColor rgb="FF000000"/>
        </patternFill>
      </fill>
    </dxf>
    <dxf>
      <fill>
        <patternFill patternType="solid">
          <fgColor rgb="FFFAE1CC"/>
          <bgColor rgb="FF000000"/>
        </patternFill>
      </fill>
    </dxf>
    <dxf>
      <fill>
        <patternFill patternType="solid">
          <fgColor rgb="FFFAE3CC"/>
          <bgColor rgb="FF000000"/>
        </patternFill>
      </fill>
    </dxf>
    <dxf>
      <fill>
        <patternFill patternType="solid">
          <fgColor rgb="FFFBE7CC"/>
          <bgColor rgb="FF000000"/>
        </patternFill>
      </fill>
    </dxf>
    <dxf>
      <fill>
        <patternFill patternType="solid">
          <fgColor rgb="FFFBF2CC"/>
          <bgColor rgb="FF000000"/>
        </patternFill>
      </fill>
    </dxf>
    <dxf>
      <fill>
        <patternFill patternType="solid">
          <fgColor rgb="FFFCE9CC"/>
          <bgColor rgb="FF000000"/>
        </patternFill>
      </fill>
    </dxf>
    <dxf>
      <fill>
        <patternFill patternType="solid">
          <fgColor rgb="FFFDEBCC"/>
          <bgColor rgb="FF000000"/>
        </patternFill>
      </fill>
    </dxf>
    <dxf>
      <fill>
        <patternFill patternType="solid">
          <fgColor rgb="FFFDEDCC"/>
          <bgColor rgb="FF000000"/>
        </patternFill>
      </fill>
    </dxf>
    <dxf>
      <fill>
        <patternFill patternType="solid">
          <fgColor rgb="FFFDF2CC"/>
          <bgColor rgb="FF000000"/>
        </patternFill>
      </fill>
    </dxf>
    <dxf>
      <fill>
        <patternFill patternType="solid">
          <fgColor rgb="FFFEEFCC"/>
          <bgColor rgb="FF000000"/>
        </patternFill>
      </fill>
    </dxf>
    <dxf>
      <fill>
        <patternFill patternType="solid">
          <fgColor rgb="FFDBEBD2"/>
          <bgColor rgb="FF000000"/>
        </patternFill>
      </fill>
    </dxf>
    <dxf>
      <fill>
        <patternFill patternType="solid">
          <fgColor rgb="FFE3EDD1"/>
          <bgColor rgb="FF000000"/>
        </patternFill>
      </fill>
    </dxf>
    <dxf>
      <fill>
        <patternFill patternType="solid">
          <fgColor rgb="FFE5EDD0"/>
          <bgColor rgb="FF000000"/>
        </patternFill>
      </fill>
    </dxf>
    <dxf>
      <fill>
        <patternFill patternType="solid">
          <fgColor rgb="FFEEEFCF"/>
          <bgColor rgb="FF000000"/>
        </patternFill>
      </fill>
    </dxf>
    <dxf>
      <fill>
        <patternFill patternType="solid">
          <fgColor rgb="FFF0EFCE"/>
          <bgColor rgb="FF000000"/>
        </patternFill>
      </fill>
    </dxf>
    <dxf>
      <fill>
        <patternFill patternType="solid">
          <fgColor rgb="FFF2F0CE"/>
          <bgColor rgb="FF000000"/>
        </patternFill>
      </fill>
    </dxf>
    <dxf>
      <fill>
        <patternFill patternType="solid">
          <fgColor rgb="FFF4F0CE"/>
          <bgColor rgb="FF000000"/>
        </patternFill>
      </fill>
    </dxf>
    <dxf>
      <fill>
        <patternFill patternType="solid">
          <fgColor rgb="FFF7F1CD"/>
          <bgColor rgb="FF000000"/>
        </patternFill>
      </fill>
    </dxf>
    <dxf>
      <fill>
        <patternFill patternType="solid">
          <fgColor rgb="FFF8DBCC"/>
          <bgColor rgb="FF000000"/>
        </patternFill>
      </fill>
    </dxf>
    <dxf>
      <fill>
        <patternFill patternType="solid">
          <fgColor rgb="FFF8F1CD"/>
          <bgColor rgb="FF000000"/>
        </patternFill>
      </fill>
    </dxf>
    <dxf>
      <fill>
        <patternFill patternType="solid">
          <fgColor rgb="FFF9DDCC"/>
          <bgColor rgb="FF000000"/>
        </patternFill>
      </fill>
    </dxf>
    <dxf>
      <fill>
        <patternFill patternType="solid">
          <fgColor rgb="FFF9DECC"/>
          <bgColor rgb="FF000000"/>
        </patternFill>
      </fill>
    </dxf>
    <dxf>
      <fill>
        <patternFill patternType="solid">
          <fgColor rgb="FFFBE4CC"/>
          <bgColor rgb="FF000000"/>
        </patternFill>
      </fill>
    </dxf>
    <dxf>
      <fill>
        <patternFill patternType="solid">
          <fgColor rgb="FFFBE5CC"/>
          <bgColor rgb="FF000000"/>
        </patternFill>
      </fill>
    </dxf>
    <dxf>
      <fill>
        <patternFill patternType="solid">
          <fgColor rgb="FFFBF1CC"/>
          <bgColor rgb="FF000000"/>
        </patternFill>
      </fill>
    </dxf>
    <dxf>
      <fill>
        <patternFill patternType="solid">
          <fgColor rgb="FFFCEACC"/>
          <bgColor rgb="FF000000"/>
        </patternFill>
      </fill>
    </dxf>
    <dxf>
      <fill>
        <patternFill patternType="solid">
          <fgColor rgb="FFFCF2CC"/>
          <bgColor rgb="FF000000"/>
        </patternFill>
      </fill>
    </dxf>
    <dxf>
      <fill>
        <patternFill patternType="solid">
          <fgColor rgb="FFFDECCC"/>
          <bgColor rgb="FF000000"/>
        </patternFill>
      </fill>
    </dxf>
    <dxf>
      <fill>
        <patternFill patternType="solid">
          <fgColor rgb="FFFEEECC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FEF1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7EDD0"/>
          <bgColor rgb="FF000000"/>
        </patternFill>
      </fill>
    </dxf>
    <dxf>
      <fill>
        <patternFill patternType="solid">
          <fgColor rgb="FFEBEECF"/>
          <bgColor rgb="FF000000"/>
        </patternFill>
      </fill>
    </dxf>
    <dxf>
      <fill>
        <patternFill patternType="solid">
          <fgColor rgb="FFF8DCCC"/>
          <bgColor rgb="FF000000"/>
        </patternFill>
      </fill>
    </dxf>
    <dxf>
      <fill>
        <patternFill patternType="solid">
          <fgColor rgb="FFFAE2CC"/>
          <bgColor rgb="FF000000"/>
        </patternFill>
      </fill>
    </dxf>
    <dxf>
      <fill>
        <patternFill patternType="solid">
          <fgColor rgb="FFFBE6CC"/>
          <bgColor rgb="FF000000"/>
        </patternFill>
      </fill>
    </dxf>
    <dxf>
      <fill>
        <patternFill patternType="solid">
          <fgColor rgb="FFFCE8CC"/>
          <bgColor rgb="FF000000"/>
        </patternFill>
      </fill>
    </dxf>
    <dxf>
      <fill>
        <patternFill patternType="solid">
          <fgColor rgb="FFF9E0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7D7F"/>
      <rgbColor rgb="FFC0C0C0"/>
      <rgbColor rgb="FF878787"/>
      <rgbColor rgb="FF9999FF"/>
      <rgbColor rgb="FFC0504D"/>
      <rgbColor rgb="FFF7F4E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0E3"/>
      <rgbColor rgb="FFD9EAD3"/>
      <rgbColor rgb="FFFCE5CD"/>
      <rgbColor rgb="FF99CCFF"/>
      <rgbColor rgb="FFFF99CC"/>
      <rgbColor rgb="FFCC99FF"/>
      <rgbColor rgb="FFF4CCCC"/>
      <rgbColor rgb="FF4A7EBB"/>
      <rgbColor rgb="FF33CCCC"/>
      <rgbColor rgb="FF99CC00"/>
      <rgbColor rgb="FFFFCC00"/>
      <rgbColor rgb="FFFF9900"/>
      <rgbColor rgb="FFFF6600"/>
      <rgbColor rgb="FF66737A"/>
      <rgbColor rgb="FF969696"/>
      <rgbColor rgb="FF17324D"/>
      <rgbColor rgb="FF4F81BD"/>
      <rgbColor rgb="FF003300"/>
      <rgbColor rgb="FF333300"/>
      <rgbColor rgb="FF993300"/>
      <rgbColor rgb="FF993366"/>
      <rgbColor rgb="FF333399"/>
      <rgbColor rgb="FF24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Analysis!$B$8:$D$8</c:f>
              <c:strCache>
                <c:ptCount val="3"/>
                <c:pt idx="0">
                  <c:v>Math</c:v>
                </c:pt>
                <c:pt idx="1">
                  <c:v>Physics</c:v>
                </c:pt>
                <c:pt idx="2">
                  <c:v>Chemistry</c:v>
                </c:pt>
              </c:strCache>
            </c:strRef>
          </c:cat>
          <c:val>
            <c:numRef>
              <c:f>Analysis!$B$9:$D$9</c:f>
              <c:numCache>
                <c:formatCode>0.0</c:formatCode>
                <c:ptCount val="3"/>
                <c:pt idx="0">
                  <c:v>72.3</c:v>
                </c:pt>
                <c:pt idx="1">
                  <c:v>66.8</c:v>
                </c:pt>
                <c:pt idx="2">
                  <c:v>71.22</c:v>
                </c:pt>
              </c:numCache>
            </c:numRef>
          </c:val>
        </c:ser>
        <c:gapWidth val="150"/>
        <c:overlap val="0"/>
        <c:axId val="15036857"/>
        <c:axId val="90817772"/>
      </c:barChart>
      <c:catAx>
        <c:axId val="15036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17772"/>
        <c:crosses val="autoZero"/>
        <c:auto val="1"/>
        <c:lblAlgn val="ctr"/>
        <c:lblOffset val="100"/>
        <c:noMultiLvlLbl val="0"/>
      </c:catAx>
      <c:valAx>
        <c:axId val="90817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36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Students by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Analysis!$H$9:$H$18</c:f>
              <c:strCache>
                <c:ptCount val="10"/>
                <c:pt idx="0">
                  <c:v>Krishna Verma</c:v>
                </c:pt>
                <c:pt idx="1">
                  <c:v>Ved Das</c:v>
                </c:pt>
                <c:pt idx="2">
                  <c:v>Aditi Das</c:v>
                </c:pt>
                <c:pt idx="3">
                  <c:v>Riya Gupta</c:v>
                </c:pt>
                <c:pt idx="4">
                  <c:v>Shreya Verma</c:v>
                </c:pt>
                <c:pt idx="5">
                  <c:v>Ritika Singh</c:v>
                </c:pt>
                <c:pt idx="6">
                  <c:v>Ira Saha</c:v>
                </c:pt>
                <c:pt idx="7">
                  <c:v>Sanya Saha</c:v>
                </c:pt>
                <c:pt idx="8">
                  <c:v>Aarav Sharma</c:v>
                </c:pt>
                <c:pt idx="9">
                  <c:v>Aarav Sharma</c:v>
                </c:pt>
              </c:strCache>
            </c:strRef>
          </c:cat>
          <c:val>
            <c:numRef>
              <c:f>Analysis!$I$9:$I$18</c:f>
              <c:numCache>
                <c:formatCode>0.0</c:formatCode>
                <c:ptCount val="10"/>
                <c:pt idx="0">
                  <c:v>88.6666666666667</c:v>
                </c:pt>
                <c:pt idx="1">
                  <c:v>84.6666666666667</c:v>
                </c:pt>
                <c:pt idx="2">
                  <c:v>84.3333333333333</c:v>
                </c:pt>
                <c:pt idx="3">
                  <c:v>83</c:v>
                </c:pt>
                <c:pt idx="4">
                  <c:v>81.6666666666667</c:v>
                </c:pt>
                <c:pt idx="5">
                  <c:v>79.3333333333333</c:v>
                </c:pt>
                <c:pt idx="6">
                  <c:v>78.3333333333333</c:v>
                </c:pt>
                <c:pt idx="7">
                  <c:v>76</c:v>
                </c:pt>
                <c:pt idx="8">
                  <c:v>75.6666666666667</c:v>
                </c:pt>
                <c:pt idx="9">
                  <c:v>75.6666666666667</c:v>
                </c:pt>
              </c:numCache>
            </c:numRef>
          </c:val>
        </c:ser>
        <c:gapWidth val="150"/>
        <c:overlap val="0"/>
        <c:axId val="68865625"/>
        <c:axId val="76876873"/>
      </c:barChart>
      <c:catAx>
        <c:axId val="6886562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76873"/>
        <c:crosses val="autoZero"/>
        <c:auto val="1"/>
        <c:lblAlgn val="ctr"/>
        <c:lblOffset val="100"/>
        <c:noMultiLvlLbl val="0"/>
      </c:catAx>
      <c:valAx>
        <c:axId val="76876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656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Analysis!$A$17:$A$21</c:f>
              <c:strCache>
                <c:ptCount val="5"/>
                <c:pt idx="0">
                  <c:v>BCA - Data Science</c:v>
                </c:pt>
                <c:pt idx="1">
                  <c:v>BCA - Cybersecurity</c:v>
                </c:pt>
                <c:pt idx="2">
                  <c:v>BCA - General</c:v>
                </c:pt>
                <c:pt idx="3">
                  <c:v>BBA</c:v>
                </c:pt>
                <c:pt idx="4">
                  <c:v>B.Sc IT</c:v>
                </c:pt>
              </c:strCache>
            </c:strRef>
          </c:cat>
          <c:val>
            <c:numRef>
              <c:f>Analysis!$C$16:$C$21</c:f>
              <c:numCache>
                <c:formatCode>0.0</c:formatCode>
                <c:ptCount val="6"/>
                <c:pt idx="1">
                  <c:v>67.5666666666667</c:v>
                </c:pt>
                <c:pt idx="2">
                  <c:v>70.7666666666667</c:v>
                </c:pt>
                <c:pt idx="3">
                  <c:v>71.3666666666667</c:v>
                </c:pt>
                <c:pt idx="4">
                  <c:v>70.1666666666667</c:v>
                </c:pt>
                <c:pt idx="5">
                  <c:v>70.6666666666667</c:v>
                </c:pt>
              </c:numCache>
            </c:numRef>
          </c:val>
        </c:ser>
        <c:gapWidth val="150"/>
        <c:overlap val="0"/>
        <c:axId val="20304759"/>
        <c:axId val="65337124"/>
      </c:barChart>
      <c:catAx>
        <c:axId val="203047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37124"/>
        <c:crosses val="autoZero"/>
        <c:auto val="1"/>
        <c:lblAlgn val="ctr"/>
        <c:lblOffset val="100"/>
        <c:noMultiLvlLbl val="0"/>
      </c:catAx>
      <c:valAx>
        <c:axId val="65337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04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vs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"Students"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'Student Data'!$D$6:$D$55</c:f>
              <c:numCache>
                <c:formatCode>0\%</c:formatCode>
                <c:ptCount val="50"/>
                <c:pt idx="0">
                  <c:v>69</c:v>
                </c:pt>
                <c:pt idx="1">
                  <c:v>96</c:v>
                </c:pt>
                <c:pt idx="2">
                  <c:v>63</c:v>
                </c:pt>
                <c:pt idx="3">
                  <c:v>96</c:v>
                </c:pt>
                <c:pt idx="4">
                  <c:v>79</c:v>
                </c:pt>
                <c:pt idx="5">
                  <c:v>83</c:v>
                </c:pt>
                <c:pt idx="6">
                  <c:v>83</c:v>
                </c:pt>
                <c:pt idx="7">
                  <c:v>78</c:v>
                </c:pt>
                <c:pt idx="8">
                  <c:v>96</c:v>
                </c:pt>
                <c:pt idx="9">
                  <c:v>85</c:v>
                </c:pt>
                <c:pt idx="10">
                  <c:v>64</c:v>
                </c:pt>
                <c:pt idx="11">
                  <c:v>68</c:v>
                </c:pt>
                <c:pt idx="12">
                  <c:v>85</c:v>
                </c:pt>
                <c:pt idx="13">
                  <c:v>66</c:v>
                </c:pt>
                <c:pt idx="14">
                  <c:v>77</c:v>
                </c:pt>
                <c:pt idx="15">
                  <c:v>97</c:v>
                </c:pt>
                <c:pt idx="16">
                  <c:v>65</c:v>
                </c:pt>
                <c:pt idx="17">
                  <c:v>75</c:v>
                </c:pt>
                <c:pt idx="18">
                  <c:v>82</c:v>
                </c:pt>
                <c:pt idx="19">
                  <c:v>71</c:v>
                </c:pt>
                <c:pt idx="20">
                  <c:v>97</c:v>
                </c:pt>
                <c:pt idx="21">
                  <c:v>85</c:v>
                </c:pt>
                <c:pt idx="22">
                  <c:v>94</c:v>
                </c:pt>
                <c:pt idx="23">
                  <c:v>72</c:v>
                </c:pt>
                <c:pt idx="24">
                  <c:v>66</c:v>
                </c:pt>
                <c:pt idx="25">
                  <c:v>97</c:v>
                </c:pt>
                <c:pt idx="26">
                  <c:v>69</c:v>
                </c:pt>
                <c:pt idx="27">
                  <c:v>69</c:v>
                </c:pt>
                <c:pt idx="28">
                  <c:v>62</c:v>
                </c:pt>
                <c:pt idx="29">
                  <c:v>73</c:v>
                </c:pt>
                <c:pt idx="30">
                  <c:v>81</c:v>
                </c:pt>
                <c:pt idx="31">
                  <c:v>72</c:v>
                </c:pt>
                <c:pt idx="32">
                  <c:v>95</c:v>
                </c:pt>
                <c:pt idx="33">
                  <c:v>85</c:v>
                </c:pt>
                <c:pt idx="34">
                  <c:v>81</c:v>
                </c:pt>
                <c:pt idx="35">
                  <c:v>93</c:v>
                </c:pt>
                <c:pt idx="36">
                  <c:v>96</c:v>
                </c:pt>
                <c:pt idx="37">
                  <c:v>78</c:v>
                </c:pt>
                <c:pt idx="38">
                  <c:v>75</c:v>
                </c:pt>
                <c:pt idx="39">
                  <c:v>87</c:v>
                </c:pt>
                <c:pt idx="40">
                  <c:v>90</c:v>
                </c:pt>
                <c:pt idx="41">
                  <c:v>63</c:v>
                </c:pt>
                <c:pt idx="42">
                  <c:v>76</c:v>
                </c:pt>
                <c:pt idx="43">
                  <c:v>64</c:v>
                </c:pt>
                <c:pt idx="44">
                  <c:v>77</c:v>
                </c:pt>
                <c:pt idx="45">
                  <c:v>98</c:v>
                </c:pt>
                <c:pt idx="46">
                  <c:v>92</c:v>
                </c:pt>
                <c:pt idx="47">
                  <c:v>89</c:v>
                </c:pt>
                <c:pt idx="48">
                  <c:v>65</c:v>
                </c:pt>
                <c:pt idx="49">
                  <c:v>83</c:v>
                </c:pt>
              </c:numCache>
            </c:numRef>
          </c:xVal>
          <c:yVal>
            <c:numRef>
              <c:f>'Student Data'!$I$6:$I$55</c:f>
              <c:numCache>
                <c:formatCode>0.0</c:formatCode>
                <c:ptCount val="50"/>
                <c:pt idx="0">
                  <c:v>75.6666666666667</c:v>
                </c:pt>
                <c:pt idx="1">
                  <c:v>84.3333333333333</c:v>
                </c:pt>
                <c:pt idx="2">
                  <c:v>70.3333333333333</c:v>
                </c:pt>
                <c:pt idx="3">
                  <c:v>64</c:v>
                </c:pt>
                <c:pt idx="4">
                  <c:v>72</c:v>
                </c:pt>
                <c:pt idx="5">
                  <c:v>65.6666666666667</c:v>
                </c:pt>
                <c:pt idx="6">
                  <c:v>74</c:v>
                </c:pt>
                <c:pt idx="7">
                  <c:v>69.6666666666667</c:v>
                </c:pt>
                <c:pt idx="8">
                  <c:v>88.6666666666667</c:v>
                </c:pt>
                <c:pt idx="9">
                  <c:v>62</c:v>
                </c:pt>
                <c:pt idx="10">
                  <c:v>66.6666666666667</c:v>
                </c:pt>
                <c:pt idx="11">
                  <c:v>68.3333333333333</c:v>
                </c:pt>
                <c:pt idx="12">
                  <c:v>73</c:v>
                </c:pt>
                <c:pt idx="13">
                  <c:v>59.6666666666667</c:v>
                </c:pt>
                <c:pt idx="14">
                  <c:v>83</c:v>
                </c:pt>
                <c:pt idx="15">
                  <c:v>74.3333333333333</c:v>
                </c:pt>
                <c:pt idx="16">
                  <c:v>70</c:v>
                </c:pt>
                <c:pt idx="17">
                  <c:v>76</c:v>
                </c:pt>
                <c:pt idx="18">
                  <c:v>81.6666666666667</c:v>
                </c:pt>
                <c:pt idx="19">
                  <c:v>68.6666666666667</c:v>
                </c:pt>
                <c:pt idx="20">
                  <c:v>55.3333333333333</c:v>
                </c:pt>
                <c:pt idx="21">
                  <c:v>84.6666666666667</c:v>
                </c:pt>
                <c:pt idx="22">
                  <c:v>64.3333333333333</c:v>
                </c:pt>
                <c:pt idx="23">
                  <c:v>65</c:v>
                </c:pt>
                <c:pt idx="24">
                  <c:v>66.3333333333333</c:v>
                </c:pt>
                <c:pt idx="25">
                  <c:v>70.3333333333333</c:v>
                </c:pt>
                <c:pt idx="26">
                  <c:v>61.3333333333333</c:v>
                </c:pt>
                <c:pt idx="27">
                  <c:v>78.3333333333333</c:v>
                </c:pt>
                <c:pt idx="28">
                  <c:v>75.6666666666667</c:v>
                </c:pt>
                <c:pt idx="29">
                  <c:v>73</c:v>
                </c:pt>
                <c:pt idx="30">
                  <c:v>69.3333333333333</c:v>
                </c:pt>
                <c:pt idx="31">
                  <c:v>64</c:v>
                </c:pt>
                <c:pt idx="32">
                  <c:v>70</c:v>
                </c:pt>
                <c:pt idx="33">
                  <c:v>71</c:v>
                </c:pt>
                <c:pt idx="34">
                  <c:v>72.3333333333333</c:v>
                </c:pt>
                <c:pt idx="35">
                  <c:v>64</c:v>
                </c:pt>
                <c:pt idx="36">
                  <c:v>62.3333333333333</c:v>
                </c:pt>
                <c:pt idx="37">
                  <c:v>63.3333333333333</c:v>
                </c:pt>
                <c:pt idx="38">
                  <c:v>70.6666666666667</c:v>
                </c:pt>
                <c:pt idx="39">
                  <c:v>70</c:v>
                </c:pt>
                <c:pt idx="40">
                  <c:v>70.6666666666667</c:v>
                </c:pt>
                <c:pt idx="41">
                  <c:v>67</c:v>
                </c:pt>
                <c:pt idx="42">
                  <c:v>79.3333333333333</c:v>
                </c:pt>
                <c:pt idx="43">
                  <c:v>70.6666666666667</c:v>
                </c:pt>
                <c:pt idx="44">
                  <c:v>68</c:v>
                </c:pt>
                <c:pt idx="45">
                  <c:v>63.6666666666667</c:v>
                </c:pt>
                <c:pt idx="46">
                  <c:v>71.6666666666667</c:v>
                </c:pt>
                <c:pt idx="47">
                  <c:v>69.3333333333333</c:v>
                </c:pt>
                <c:pt idx="48">
                  <c:v>54.6666666666667</c:v>
                </c:pt>
                <c:pt idx="49">
                  <c:v>71.3333333333333</c:v>
                </c:pt>
              </c:numCache>
            </c:numRef>
          </c:yVal>
          <c:smooth val="1"/>
        </c:ser>
        <c:axId val="97302231"/>
        <c:axId val="78858545"/>
      </c:scatterChart>
      <c:valAx>
        <c:axId val="973022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58545"/>
        <c:crosses val="autoZero"/>
        <c:crossBetween val="midCat"/>
      </c:valAx>
      <c:valAx>
        <c:axId val="78858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0223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vs Fail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Analysis!$A$36:$A$37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Analysis!$B$36:$B$37</c:f>
              <c:numCache>
                <c:formatCode>General</c:formatCode>
                <c:ptCount val="2"/>
                <c:pt idx="0">
                  <c:v>48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70560</xdr:rowOff>
    </xdr:from>
    <xdr:to>
      <xdr:col>4</xdr:col>
      <xdr:colOff>12240</xdr:colOff>
      <xdr:row>19</xdr:row>
      <xdr:rowOff>113400</xdr:rowOff>
    </xdr:to>
    <xdr:graphicFrame>
      <xdr:nvGraphicFramePr>
        <xdr:cNvPr id="0" name="Chart 1"/>
        <xdr:cNvGraphicFramePr/>
      </xdr:nvGraphicFramePr>
      <xdr:xfrm>
        <a:off x="0" y="1670760"/>
        <a:ext cx="39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70560</xdr:rowOff>
    </xdr:from>
    <xdr:to>
      <xdr:col>10</xdr:col>
      <xdr:colOff>12240</xdr:colOff>
      <xdr:row>21</xdr:row>
      <xdr:rowOff>92520</xdr:rowOff>
    </xdr:to>
    <xdr:graphicFrame>
      <xdr:nvGraphicFramePr>
        <xdr:cNvPr id="1" name="Chart 2"/>
        <xdr:cNvGraphicFramePr/>
      </xdr:nvGraphicFramePr>
      <xdr:xfrm>
        <a:off x="5920920" y="1670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70200</xdr:rowOff>
    </xdr:from>
    <xdr:to>
      <xdr:col>4</xdr:col>
      <xdr:colOff>12240</xdr:colOff>
      <xdr:row>35</xdr:row>
      <xdr:rowOff>113040</xdr:rowOff>
    </xdr:to>
    <xdr:graphicFrame>
      <xdr:nvGraphicFramePr>
        <xdr:cNvPr id="2" name="Chart 3"/>
        <xdr:cNvGraphicFramePr/>
      </xdr:nvGraphicFramePr>
      <xdr:xfrm>
        <a:off x="0" y="4718520"/>
        <a:ext cx="39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22</xdr:row>
      <xdr:rowOff>70200</xdr:rowOff>
    </xdr:from>
    <xdr:to>
      <xdr:col>10</xdr:col>
      <xdr:colOff>12240</xdr:colOff>
      <xdr:row>35</xdr:row>
      <xdr:rowOff>113040</xdr:rowOff>
    </xdr:to>
    <xdr:graphicFrame>
      <xdr:nvGraphicFramePr>
        <xdr:cNvPr id="3" name="Chart 4"/>
        <xdr:cNvGraphicFramePr/>
      </xdr:nvGraphicFramePr>
      <xdr:xfrm>
        <a:off x="5920920" y="4718520"/>
        <a:ext cx="39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12600</xdr:colOff>
      <xdr:row>53</xdr:row>
      <xdr:rowOff>43200</xdr:rowOff>
    </xdr:to>
    <xdr:graphicFrame>
      <xdr:nvGraphicFramePr>
        <xdr:cNvPr id="4" name="Chart 5"/>
        <xdr:cNvGraphicFramePr/>
      </xdr:nvGraphicFramePr>
      <xdr:xfrm>
        <a:off x="0" y="807732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tudentTable" displayName="StudentTable" ref="A5:K55" headerRowCount="1" totalsRowCount="0" totalsRowShown="0">
  <autoFilter ref="A5:K55"/>
  <tableColumns count="11">
    <tableColumn id="1" name="Student ID"/>
    <tableColumn id="2" name="Student Name"/>
    <tableColumn id="3" name="Department / Class"/>
    <tableColumn id="4" name="Attendance %"/>
    <tableColumn id="5" name="Math"/>
    <tableColumn id="6" name="Physics"/>
    <tableColumn id="7" name="Chemistry"/>
    <tableColumn id="8" name="Total"/>
    <tableColumn id="9" name="Average"/>
    <tableColumn id="10" name="Result"/>
    <tableColumn id="11" name="Improve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11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customFormat="false" ht="15" hidden="false" customHeight="true" outlineLevel="0" collapsed="false">
      <c r="A6" s="5" t="s">
        <v>13</v>
      </c>
      <c r="B6" s="6" t="s">
        <v>14</v>
      </c>
      <c r="C6" s="6" t="s">
        <v>15</v>
      </c>
      <c r="D6" s="7" t="n">
        <v>69</v>
      </c>
      <c r="E6" s="8" t="n">
        <v>81</v>
      </c>
      <c r="F6" s="8" t="n">
        <v>70</v>
      </c>
      <c r="G6" s="8" t="n">
        <v>76</v>
      </c>
      <c r="H6" s="5" t="n">
        <f aca="false">SUM(E6:G6)</f>
        <v>227</v>
      </c>
      <c r="I6" s="9" t="n">
        <f aca="false">AVERAGE(E6:G6)</f>
        <v>75.6666666666667</v>
      </c>
      <c r="J6" s="8" t="str">
        <f aca="false">IF(MIN(E6:G6)&gt;=40,"Pass","Fail")</f>
        <v>Pass</v>
      </c>
      <c r="K6" s="8" t="str">
        <f aca="false">IF(OR(I6&lt;60,D6&lt;75,MIN(E6:G6)&lt;40),"Yes","No")</f>
        <v>Yes</v>
      </c>
    </row>
    <row r="7" customFormat="false" ht="15" hidden="false" customHeight="true" outlineLevel="0" collapsed="false">
      <c r="A7" s="5" t="s">
        <v>16</v>
      </c>
      <c r="B7" s="6" t="s">
        <v>17</v>
      </c>
      <c r="C7" s="6" t="s">
        <v>18</v>
      </c>
      <c r="D7" s="7" t="n">
        <v>96</v>
      </c>
      <c r="E7" s="8" t="n">
        <v>93</v>
      </c>
      <c r="F7" s="8" t="n">
        <v>81</v>
      </c>
      <c r="G7" s="8" t="n">
        <v>79</v>
      </c>
      <c r="H7" s="5" t="n">
        <f aca="false">SUM(E7:G7)</f>
        <v>253</v>
      </c>
      <c r="I7" s="9" t="n">
        <f aca="false">AVERAGE(E7:G7)</f>
        <v>84.3333333333333</v>
      </c>
      <c r="J7" s="8" t="str">
        <f aca="false">IF(MIN(E7:G7)&gt;=40,"Pass","Fail")</f>
        <v>Pass</v>
      </c>
      <c r="K7" s="8" t="str">
        <f aca="false">IF(OR(I7&lt;60,D7&lt;75,MIN(E7:G7)&lt;40),"Yes","No")</f>
        <v>No</v>
      </c>
    </row>
    <row r="8" customFormat="false" ht="15" hidden="false" customHeight="true" outlineLevel="0" collapsed="false">
      <c r="A8" s="5" t="s">
        <v>19</v>
      </c>
      <c r="B8" s="6" t="s">
        <v>20</v>
      </c>
      <c r="C8" s="6" t="s">
        <v>21</v>
      </c>
      <c r="D8" s="7" t="n">
        <v>63</v>
      </c>
      <c r="E8" s="8" t="n">
        <v>78</v>
      </c>
      <c r="F8" s="8" t="n">
        <v>74</v>
      </c>
      <c r="G8" s="8" t="n">
        <v>59</v>
      </c>
      <c r="H8" s="5" t="n">
        <f aca="false">SUM(E8:G8)</f>
        <v>211</v>
      </c>
      <c r="I8" s="9" t="n">
        <f aca="false">AVERAGE(E8:G8)</f>
        <v>70.3333333333333</v>
      </c>
      <c r="J8" s="8" t="str">
        <f aca="false">IF(MIN(E8:G8)&gt;=40,"Pass","Fail")</f>
        <v>Pass</v>
      </c>
      <c r="K8" s="8" t="str">
        <f aca="false">IF(OR(I8&lt;60,D8&lt;75,MIN(E8:G8)&lt;40),"Yes","No")</f>
        <v>Yes</v>
      </c>
    </row>
    <row r="9" customFormat="false" ht="15" hidden="false" customHeight="true" outlineLevel="0" collapsed="false">
      <c r="A9" s="5" t="s">
        <v>22</v>
      </c>
      <c r="B9" s="6" t="s">
        <v>23</v>
      </c>
      <c r="C9" s="6" t="s">
        <v>24</v>
      </c>
      <c r="D9" s="7" t="n">
        <v>96</v>
      </c>
      <c r="E9" s="8" t="n">
        <v>59</v>
      </c>
      <c r="F9" s="8" t="n">
        <v>54</v>
      </c>
      <c r="G9" s="8" t="n">
        <v>79</v>
      </c>
      <c r="H9" s="5" t="n">
        <f aca="false">SUM(E9:G9)</f>
        <v>192</v>
      </c>
      <c r="I9" s="9" t="n">
        <f aca="false">AVERAGE(E9:G9)</f>
        <v>64</v>
      </c>
      <c r="J9" s="8" t="str">
        <f aca="false">IF(MIN(E9:G9)&gt;=40,"Pass","Fail")</f>
        <v>Pass</v>
      </c>
      <c r="K9" s="8" t="str">
        <f aca="false">IF(OR(I9&lt;60,D9&lt;75,MIN(E9:G9)&lt;40),"Yes","No")</f>
        <v>No</v>
      </c>
    </row>
    <row r="10" customFormat="false" ht="15" hidden="false" customHeight="true" outlineLevel="0" collapsed="false">
      <c r="A10" s="5" t="s">
        <v>25</v>
      </c>
      <c r="B10" s="6" t="s">
        <v>26</v>
      </c>
      <c r="C10" s="6" t="s">
        <v>27</v>
      </c>
      <c r="D10" s="7" t="n">
        <v>79</v>
      </c>
      <c r="E10" s="8" t="n">
        <v>71</v>
      </c>
      <c r="F10" s="8" t="n">
        <v>66</v>
      </c>
      <c r="G10" s="8" t="n">
        <v>79</v>
      </c>
      <c r="H10" s="5" t="n">
        <f aca="false">SUM(E10:G10)</f>
        <v>216</v>
      </c>
      <c r="I10" s="9" t="n">
        <f aca="false">AVERAGE(E10:G10)</f>
        <v>72</v>
      </c>
      <c r="J10" s="8" t="str">
        <f aca="false">IF(MIN(E10:G10)&gt;=40,"Pass","Fail")</f>
        <v>Pass</v>
      </c>
      <c r="K10" s="8" t="str">
        <f aca="false">IF(OR(I10&lt;60,D10&lt;75,MIN(E10:G10)&lt;40),"Yes","No")</f>
        <v>No</v>
      </c>
    </row>
    <row r="11" customFormat="false" ht="15" hidden="false" customHeight="true" outlineLevel="0" collapsed="false">
      <c r="A11" s="5" t="s">
        <v>28</v>
      </c>
      <c r="B11" s="6" t="s">
        <v>29</v>
      </c>
      <c r="C11" s="6" t="s">
        <v>15</v>
      </c>
      <c r="D11" s="7" t="n">
        <v>83</v>
      </c>
      <c r="E11" s="8" t="n">
        <v>50</v>
      </c>
      <c r="F11" s="8" t="n">
        <v>66</v>
      </c>
      <c r="G11" s="8" t="n">
        <v>81</v>
      </c>
      <c r="H11" s="5" t="n">
        <f aca="false">SUM(E11:G11)</f>
        <v>197</v>
      </c>
      <c r="I11" s="9" t="n">
        <f aca="false">AVERAGE(E11:G11)</f>
        <v>65.6666666666667</v>
      </c>
      <c r="J11" s="8" t="str">
        <f aca="false">IF(MIN(E11:G11)&gt;=40,"Pass","Fail")</f>
        <v>Pass</v>
      </c>
      <c r="K11" s="8" t="str">
        <f aca="false">IF(OR(I11&lt;60,D11&lt;75,MIN(E11:G11)&lt;40),"Yes","No")</f>
        <v>No</v>
      </c>
    </row>
    <row r="12" customFormat="false" ht="15" hidden="false" customHeight="true" outlineLevel="0" collapsed="false">
      <c r="A12" s="5" t="s">
        <v>30</v>
      </c>
      <c r="B12" s="6" t="s">
        <v>31</v>
      </c>
      <c r="C12" s="6" t="s">
        <v>18</v>
      </c>
      <c r="D12" s="7" t="n">
        <v>83</v>
      </c>
      <c r="E12" s="8" t="n">
        <v>81</v>
      </c>
      <c r="F12" s="8" t="n">
        <v>77</v>
      </c>
      <c r="G12" s="8" t="n">
        <v>64</v>
      </c>
      <c r="H12" s="5" t="n">
        <f aca="false">SUM(E12:G12)</f>
        <v>222</v>
      </c>
      <c r="I12" s="9" t="n">
        <f aca="false">AVERAGE(E12:G12)</f>
        <v>74</v>
      </c>
      <c r="J12" s="8" t="str">
        <f aca="false">IF(MIN(E12:G12)&gt;=40,"Pass","Fail")</f>
        <v>Pass</v>
      </c>
      <c r="K12" s="8" t="str">
        <f aca="false">IF(OR(I12&lt;60,D12&lt;75,MIN(E12:G12)&lt;40),"Yes","No")</f>
        <v>No</v>
      </c>
    </row>
    <row r="13" customFormat="false" ht="15" hidden="false" customHeight="true" outlineLevel="0" collapsed="false">
      <c r="A13" s="5" t="s">
        <v>32</v>
      </c>
      <c r="B13" s="6" t="s">
        <v>33</v>
      </c>
      <c r="C13" s="6" t="s">
        <v>21</v>
      </c>
      <c r="D13" s="7" t="n">
        <v>78</v>
      </c>
      <c r="E13" s="8" t="n">
        <v>80</v>
      </c>
      <c r="F13" s="8" t="n">
        <v>77</v>
      </c>
      <c r="G13" s="8" t="n">
        <v>52</v>
      </c>
      <c r="H13" s="5" t="n">
        <f aca="false">SUM(E13:G13)</f>
        <v>209</v>
      </c>
      <c r="I13" s="9" t="n">
        <f aca="false">AVERAGE(E13:G13)</f>
        <v>69.6666666666667</v>
      </c>
      <c r="J13" s="8" t="str">
        <f aca="false">IF(MIN(E13:G13)&gt;=40,"Pass","Fail")</f>
        <v>Pass</v>
      </c>
      <c r="K13" s="8" t="str">
        <f aca="false">IF(OR(I13&lt;60,D13&lt;75,MIN(E13:G13)&lt;40),"Yes","No")</f>
        <v>No</v>
      </c>
    </row>
    <row r="14" customFormat="false" ht="15" hidden="false" customHeight="true" outlineLevel="0" collapsed="false">
      <c r="A14" s="5" t="s">
        <v>34</v>
      </c>
      <c r="B14" s="6" t="s">
        <v>35</v>
      </c>
      <c r="C14" s="6" t="s">
        <v>24</v>
      </c>
      <c r="D14" s="7" t="n">
        <v>96</v>
      </c>
      <c r="E14" s="8" t="n">
        <v>92</v>
      </c>
      <c r="F14" s="8" t="n">
        <v>92</v>
      </c>
      <c r="G14" s="8" t="n">
        <v>82</v>
      </c>
      <c r="H14" s="5" t="n">
        <f aca="false">SUM(E14:G14)</f>
        <v>266</v>
      </c>
      <c r="I14" s="9" t="n">
        <f aca="false">AVERAGE(E14:G14)</f>
        <v>88.6666666666667</v>
      </c>
      <c r="J14" s="8" t="str">
        <f aca="false">IF(MIN(E14:G14)&gt;=40,"Pass","Fail")</f>
        <v>Pass</v>
      </c>
      <c r="K14" s="8" t="str">
        <f aca="false">IF(OR(I14&lt;60,D14&lt;75,MIN(E14:G14)&lt;40),"Yes","No")</f>
        <v>No</v>
      </c>
    </row>
    <row r="15" customFormat="false" ht="15" hidden="false" customHeight="true" outlineLevel="0" collapsed="false">
      <c r="A15" s="5" t="s">
        <v>36</v>
      </c>
      <c r="B15" s="6" t="s">
        <v>37</v>
      </c>
      <c r="C15" s="6" t="s">
        <v>27</v>
      </c>
      <c r="D15" s="7" t="n">
        <v>85</v>
      </c>
      <c r="E15" s="8" t="n">
        <v>76</v>
      </c>
      <c r="F15" s="8" t="n">
        <v>47</v>
      </c>
      <c r="G15" s="8" t="n">
        <v>63</v>
      </c>
      <c r="H15" s="5" t="n">
        <f aca="false">SUM(E15:G15)</f>
        <v>186</v>
      </c>
      <c r="I15" s="9" t="n">
        <f aca="false">AVERAGE(E15:G15)</f>
        <v>62</v>
      </c>
      <c r="J15" s="8" t="str">
        <f aca="false">IF(MIN(E15:G15)&gt;=40,"Pass","Fail")</f>
        <v>Pass</v>
      </c>
      <c r="K15" s="8" t="str">
        <f aca="false">IF(OR(I15&lt;60,D15&lt;75,MIN(E15:G15)&lt;40),"Yes","No")</f>
        <v>No</v>
      </c>
    </row>
    <row r="16" customFormat="false" ht="15" hidden="false" customHeight="true" outlineLevel="0" collapsed="false">
      <c r="A16" s="5" t="s">
        <v>38</v>
      </c>
      <c r="B16" s="6" t="s">
        <v>39</v>
      </c>
      <c r="C16" s="6" t="s">
        <v>15</v>
      </c>
      <c r="D16" s="7" t="n">
        <v>64</v>
      </c>
      <c r="E16" s="8" t="n">
        <v>57</v>
      </c>
      <c r="F16" s="8" t="n">
        <v>46</v>
      </c>
      <c r="G16" s="8" t="n">
        <v>97</v>
      </c>
      <c r="H16" s="5" t="n">
        <f aca="false">SUM(E16:G16)</f>
        <v>200</v>
      </c>
      <c r="I16" s="9" t="n">
        <f aca="false">AVERAGE(E16:G16)</f>
        <v>66.6666666666667</v>
      </c>
      <c r="J16" s="8" t="str">
        <f aca="false">IF(MIN(E16:G16)&gt;=40,"Pass","Fail")</f>
        <v>Pass</v>
      </c>
      <c r="K16" s="8" t="str">
        <f aca="false">IF(OR(I16&lt;60,D16&lt;75,MIN(E16:G16)&lt;40),"Yes","No")</f>
        <v>Yes</v>
      </c>
    </row>
    <row r="17" customFormat="false" ht="15" hidden="false" customHeight="true" outlineLevel="0" collapsed="false">
      <c r="A17" s="5" t="s">
        <v>40</v>
      </c>
      <c r="B17" s="6" t="s">
        <v>41</v>
      </c>
      <c r="C17" s="6" t="s">
        <v>18</v>
      </c>
      <c r="D17" s="7" t="n">
        <v>68</v>
      </c>
      <c r="E17" s="8" t="n">
        <v>67</v>
      </c>
      <c r="F17" s="8" t="n">
        <v>56</v>
      </c>
      <c r="G17" s="8" t="n">
        <v>82</v>
      </c>
      <c r="H17" s="5" t="n">
        <f aca="false">SUM(E17:G17)</f>
        <v>205</v>
      </c>
      <c r="I17" s="9" t="n">
        <f aca="false">AVERAGE(E17:G17)</f>
        <v>68.3333333333333</v>
      </c>
      <c r="J17" s="8" t="str">
        <f aca="false">IF(MIN(E17:G17)&gt;=40,"Pass","Fail")</f>
        <v>Pass</v>
      </c>
      <c r="K17" s="8" t="str">
        <f aca="false">IF(OR(I17&lt;60,D17&lt;75,MIN(E17:G17)&lt;40),"Yes","No")</f>
        <v>Yes</v>
      </c>
    </row>
    <row r="18" customFormat="false" ht="15" hidden="false" customHeight="true" outlineLevel="0" collapsed="false">
      <c r="A18" s="5" t="s">
        <v>42</v>
      </c>
      <c r="B18" s="6" t="s">
        <v>43</v>
      </c>
      <c r="C18" s="6" t="s">
        <v>21</v>
      </c>
      <c r="D18" s="7" t="n">
        <v>85</v>
      </c>
      <c r="E18" s="8" t="n">
        <v>77</v>
      </c>
      <c r="F18" s="8" t="n">
        <v>80</v>
      </c>
      <c r="G18" s="8" t="n">
        <v>62</v>
      </c>
      <c r="H18" s="5" t="n">
        <f aca="false">SUM(E18:G18)</f>
        <v>219</v>
      </c>
      <c r="I18" s="9" t="n">
        <f aca="false">AVERAGE(E18:G18)</f>
        <v>73</v>
      </c>
      <c r="J18" s="8" t="str">
        <f aca="false">IF(MIN(E18:G18)&gt;=40,"Pass","Fail")</f>
        <v>Pass</v>
      </c>
      <c r="K18" s="8" t="str">
        <f aca="false">IF(OR(I18&lt;60,D18&lt;75,MIN(E18:G18)&lt;40),"Yes","No")</f>
        <v>No</v>
      </c>
    </row>
    <row r="19" customFormat="false" ht="15" hidden="false" customHeight="true" outlineLevel="0" collapsed="false">
      <c r="A19" s="5" t="s">
        <v>44</v>
      </c>
      <c r="B19" s="6" t="s">
        <v>45</v>
      </c>
      <c r="C19" s="6" t="s">
        <v>24</v>
      </c>
      <c r="D19" s="7" t="n">
        <v>66</v>
      </c>
      <c r="E19" s="8" t="n">
        <v>51</v>
      </c>
      <c r="F19" s="8" t="n">
        <v>61</v>
      </c>
      <c r="G19" s="8" t="n">
        <v>67</v>
      </c>
      <c r="H19" s="5" t="n">
        <f aca="false">SUM(E19:G19)</f>
        <v>179</v>
      </c>
      <c r="I19" s="9" t="n">
        <f aca="false">AVERAGE(E19:G19)</f>
        <v>59.6666666666667</v>
      </c>
      <c r="J19" s="8" t="str">
        <f aca="false">IF(MIN(E19:G19)&gt;=40,"Pass","Fail")</f>
        <v>Pass</v>
      </c>
      <c r="K19" s="8" t="str">
        <f aca="false">IF(OR(I19&lt;60,D19&lt;75,MIN(E19:G19)&lt;40),"Yes","No")</f>
        <v>Yes</v>
      </c>
    </row>
    <row r="20" customFormat="false" ht="15" hidden="false" customHeight="true" outlineLevel="0" collapsed="false">
      <c r="A20" s="5" t="s">
        <v>46</v>
      </c>
      <c r="B20" s="6" t="s">
        <v>47</v>
      </c>
      <c r="C20" s="6" t="s">
        <v>27</v>
      </c>
      <c r="D20" s="7" t="n">
        <v>77</v>
      </c>
      <c r="E20" s="8" t="n">
        <v>77</v>
      </c>
      <c r="F20" s="8" t="n">
        <v>81</v>
      </c>
      <c r="G20" s="8" t="n">
        <v>91</v>
      </c>
      <c r="H20" s="5" t="n">
        <f aca="false">SUM(E20:G20)</f>
        <v>249</v>
      </c>
      <c r="I20" s="9" t="n">
        <f aca="false">AVERAGE(E20:G20)</f>
        <v>83</v>
      </c>
      <c r="J20" s="8" t="str">
        <f aca="false">IF(MIN(E20:G20)&gt;=40,"Pass","Fail")</f>
        <v>Pass</v>
      </c>
      <c r="K20" s="8" t="str">
        <f aca="false">IF(OR(I20&lt;60,D20&lt;75,MIN(E20:G20)&lt;40),"Yes","No")</f>
        <v>No</v>
      </c>
    </row>
    <row r="21" customFormat="false" ht="15" hidden="false" customHeight="true" outlineLevel="0" collapsed="false">
      <c r="A21" s="5" t="s">
        <v>48</v>
      </c>
      <c r="B21" s="6" t="s">
        <v>49</v>
      </c>
      <c r="C21" s="6" t="s">
        <v>15</v>
      </c>
      <c r="D21" s="7" t="n">
        <v>97</v>
      </c>
      <c r="E21" s="8" t="n">
        <v>69</v>
      </c>
      <c r="F21" s="8" t="n">
        <v>71</v>
      </c>
      <c r="G21" s="8" t="n">
        <v>83</v>
      </c>
      <c r="H21" s="5" t="n">
        <f aca="false">SUM(E21:G21)</f>
        <v>223</v>
      </c>
      <c r="I21" s="9" t="n">
        <f aca="false">AVERAGE(E21:G21)</f>
        <v>74.3333333333333</v>
      </c>
      <c r="J21" s="8" t="str">
        <f aca="false">IF(MIN(E21:G21)&gt;=40,"Pass","Fail")</f>
        <v>Pass</v>
      </c>
      <c r="K21" s="8" t="str">
        <f aca="false">IF(OR(I21&lt;60,D21&lt;75,MIN(E21:G21)&lt;40),"Yes","No")</f>
        <v>No</v>
      </c>
    </row>
    <row r="22" customFormat="false" ht="15" hidden="false" customHeight="true" outlineLevel="0" collapsed="false">
      <c r="A22" s="5" t="s">
        <v>50</v>
      </c>
      <c r="B22" s="6" t="s">
        <v>51</v>
      </c>
      <c r="C22" s="6" t="s">
        <v>18</v>
      </c>
      <c r="D22" s="7" t="n">
        <v>65</v>
      </c>
      <c r="E22" s="8" t="n">
        <v>70</v>
      </c>
      <c r="F22" s="8" t="n">
        <v>72</v>
      </c>
      <c r="G22" s="8" t="n">
        <v>68</v>
      </c>
      <c r="H22" s="5" t="n">
        <f aca="false">SUM(E22:G22)</f>
        <v>210</v>
      </c>
      <c r="I22" s="9" t="n">
        <f aca="false">AVERAGE(E22:G22)</f>
        <v>70</v>
      </c>
      <c r="J22" s="8" t="str">
        <f aca="false">IF(MIN(E22:G22)&gt;=40,"Pass","Fail")</f>
        <v>Pass</v>
      </c>
      <c r="K22" s="8" t="str">
        <f aca="false">IF(OR(I22&lt;60,D22&lt;75,MIN(E22:G22)&lt;40),"Yes","No")</f>
        <v>Yes</v>
      </c>
    </row>
    <row r="23" customFormat="false" ht="15" hidden="false" customHeight="true" outlineLevel="0" collapsed="false">
      <c r="A23" s="5" t="s">
        <v>52</v>
      </c>
      <c r="B23" s="6" t="s">
        <v>53</v>
      </c>
      <c r="C23" s="6" t="s">
        <v>21</v>
      </c>
      <c r="D23" s="7" t="n">
        <v>75</v>
      </c>
      <c r="E23" s="8" t="n">
        <v>80</v>
      </c>
      <c r="F23" s="8" t="n">
        <v>85</v>
      </c>
      <c r="G23" s="8" t="n">
        <v>63</v>
      </c>
      <c r="H23" s="5" t="n">
        <f aca="false">SUM(E23:G23)</f>
        <v>228</v>
      </c>
      <c r="I23" s="9" t="n">
        <f aca="false">AVERAGE(E23:G23)</f>
        <v>76</v>
      </c>
      <c r="J23" s="8" t="str">
        <f aca="false">IF(MIN(E23:G23)&gt;=40,"Pass","Fail")</f>
        <v>Pass</v>
      </c>
      <c r="K23" s="8" t="str">
        <f aca="false">IF(OR(I23&lt;60,D23&lt;75,MIN(E23:G23)&lt;40),"Yes","No")</f>
        <v>No</v>
      </c>
    </row>
    <row r="24" customFormat="false" ht="15" hidden="false" customHeight="true" outlineLevel="0" collapsed="false">
      <c r="A24" s="5" t="s">
        <v>54</v>
      </c>
      <c r="B24" s="6" t="s">
        <v>55</v>
      </c>
      <c r="C24" s="6" t="s">
        <v>24</v>
      </c>
      <c r="D24" s="7" t="n">
        <v>82</v>
      </c>
      <c r="E24" s="8" t="n">
        <v>74</v>
      </c>
      <c r="F24" s="8" t="n">
        <v>85</v>
      </c>
      <c r="G24" s="8" t="n">
        <v>86</v>
      </c>
      <c r="H24" s="5" t="n">
        <f aca="false">SUM(E24:G24)</f>
        <v>245</v>
      </c>
      <c r="I24" s="9" t="n">
        <f aca="false">AVERAGE(E24:G24)</f>
        <v>81.6666666666667</v>
      </c>
      <c r="J24" s="8" t="str">
        <f aca="false">IF(MIN(E24:G24)&gt;=40,"Pass","Fail")</f>
        <v>Pass</v>
      </c>
      <c r="K24" s="8" t="str">
        <f aca="false">IF(OR(I24&lt;60,D24&lt;75,MIN(E24:G24)&lt;40),"Yes","No")</f>
        <v>No</v>
      </c>
    </row>
    <row r="25" customFormat="false" ht="15" hidden="false" customHeight="true" outlineLevel="0" collapsed="false">
      <c r="A25" s="5" t="s">
        <v>56</v>
      </c>
      <c r="B25" s="6" t="s">
        <v>57</v>
      </c>
      <c r="C25" s="6" t="s">
        <v>27</v>
      </c>
      <c r="D25" s="7" t="n">
        <v>71</v>
      </c>
      <c r="E25" s="8" t="n">
        <v>57</v>
      </c>
      <c r="F25" s="8" t="n">
        <v>67</v>
      </c>
      <c r="G25" s="8" t="n">
        <v>82</v>
      </c>
      <c r="H25" s="5" t="n">
        <f aca="false">SUM(E25:G25)</f>
        <v>206</v>
      </c>
      <c r="I25" s="9" t="n">
        <f aca="false">AVERAGE(E25:G25)</f>
        <v>68.6666666666667</v>
      </c>
      <c r="J25" s="8" t="str">
        <f aca="false">IF(MIN(E25:G25)&gt;=40,"Pass","Fail")</f>
        <v>Pass</v>
      </c>
      <c r="K25" s="8" t="str">
        <f aca="false">IF(OR(I25&lt;60,D25&lt;75,MIN(E25:G25)&lt;40),"Yes","No")</f>
        <v>Yes</v>
      </c>
    </row>
    <row r="26" customFormat="false" ht="15" hidden="false" customHeight="true" outlineLevel="0" collapsed="false">
      <c r="A26" s="5" t="s">
        <v>58</v>
      </c>
      <c r="B26" s="6" t="s">
        <v>59</v>
      </c>
      <c r="C26" s="6" t="s">
        <v>15</v>
      </c>
      <c r="D26" s="7" t="n">
        <v>97</v>
      </c>
      <c r="E26" s="8" t="n">
        <v>47</v>
      </c>
      <c r="F26" s="8" t="n">
        <v>62</v>
      </c>
      <c r="G26" s="8" t="n">
        <v>57</v>
      </c>
      <c r="H26" s="5" t="n">
        <f aca="false">SUM(E26:G26)</f>
        <v>166</v>
      </c>
      <c r="I26" s="9" t="n">
        <f aca="false">AVERAGE(E26:G26)</f>
        <v>55.3333333333333</v>
      </c>
      <c r="J26" s="8" t="str">
        <f aca="false">IF(MIN(E26:G26)&gt;=40,"Pass","Fail")</f>
        <v>Pass</v>
      </c>
      <c r="K26" s="8" t="str">
        <f aca="false">IF(OR(I26&lt;60,D26&lt;75,MIN(E26:G26)&lt;40),"Yes","No")</f>
        <v>Yes</v>
      </c>
    </row>
    <row r="27" customFormat="false" ht="15" hidden="false" customHeight="true" outlineLevel="0" collapsed="false">
      <c r="A27" s="5" t="s">
        <v>60</v>
      </c>
      <c r="B27" s="6" t="s">
        <v>61</v>
      </c>
      <c r="C27" s="6" t="s">
        <v>18</v>
      </c>
      <c r="D27" s="7" t="n">
        <v>85</v>
      </c>
      <c r="E27" s="8" t="n">
        <v>78</v>
      </c>
      <c r="F27" s="8" t="n">
        <v>78</v>
      </c>
      <c r="G27" s="8" t="n">
        <v>98</v>
      </c>
      <c r="H27" s="5" t="n">
        <f aca="false">SUM(E27:G27)</f>
        <v>254</v>
      </c>
      <c r="I27" s="9" t="n">
        <f aca="false">AVERAGE(E27:G27)</f>
        <v>84.6666666666667</v>
      </c>
      <c r="J27" s="8" t="str">
        <f aca="false">IF(MIN(E27:G27)&gt;=40,"Pass","Fail")</f>
        <v>Pass</v>
      </c>
      <c r="K27" s="8" t="str">
        <f aca="false">IF(OR(I27&lt;60,D27&lt;75,MIN(E27:G27)&lt;40),"Yes","No")</f>
        <v>No</v>
      </c>
    </row>
    <row r="28" customFormat="false" ht="15" hidden="false" customHeight="true" outlineLevel="0" collapsed="false">
      <c r="A28" s="5" t="s">
        <v>62</v>
      </c>
      <c r="B28" s="6" t="s">
        <v>63</v>
      </c>
      <c r="C28" s="6" t="s">
        <v>21</v>
      </c>
      <c r="D28" s="7" t="n">
        <v>94</v>
      </c>
      <c r="E28" s="8" t="n">
        <v>47</v>
      </c>
      <c r="F28" s="8" t="n">
        <v>69</v>
      </c>
      <c r="G28" s="8" t="n">
        <v>77</v>
      </c>
      <c r="H28" s="5" t="n">
        <f aca="false">SUM(E28:G28)</f>
        <v>193</v>
      </c>
      <c r="I28" s="9" t="n">
        <f aca="false">AVERAGE(E28:G28)</f>
        <v>64.3333333333333</v>
      </c>
      <c r="J28" s="8" t="str">
        <f aca="false">IF(MIN(E28:G28)&gt;=40,"Pass","Fail")</f>
        <v>Pass</v>
      </c>
      <c r="K28" s="8" t="str">
        <f aca="false">IF(OR(I28&lt;60,D28&lt;75,MIN(E28:G28)&lt;40),"Yes","No")</f>
        <v>No</v>
      </c>
    </row>
    <row r="29" customFormat="false" ht="15" hidden="false" customHeight="true" outlineLevel="0" collapsed="false">
      <c r="A29" s="5" t="s">
        <v>64</v>
      </c>
      <c r="B29" s="6" t="s">
        <v>65</v>
      </c>
      <c r="C29" s="6" t="s">
        <v>24</v>
      </c>
      <c r="D29" s="7" t="n">
        <v>72</v>
      </c>
      <c r="E29" s="8" t="n">
        <v>64</v>
      </c>
      <c r="F29" s="8" t="n">
        <v>72</v>
      </c>
      <c r="G29" s="8" t="n">
        <v>59</v>
      </c>
      <c r="H29" s="5" t="n">
        <f aca="false">SUM(E29:G29)</f>
        <v>195</v>
      </c>
      <c r="I29" s="9" t="n">
        <f aca="false">AVERAGE(E29:G29)</f>
        <v>65</v>
      </c>
      <c r="J29" s="8" t="str">
        <f aca="false">IF(MIN(E29:G29)&gt;=40,"Pass","Fail")</f>
        <v>Pass</v>
      </c>
      <c r="K29" s="8" t="str">
        <f aca="false">IF(OR(I29&lt;60,D29&lt;75,MIN(E29:G29)&lt;40),"Yes","No")</f>
        <v>Yes</v>
      </c>
    </row>
    <row r="30" customFormat="false" ht="15" hidden="false" customHeight="true" outlineLevel="0" collapsed="false">
      <c r="A30" s="5" t="s">
        <v>66</v>
      </c>
      <c r="B30" s="6" t="s">
        <v>67</v>
      </c>
      <c r="C30" s="6" t="s">
        <v>27</v>
      </c>
      <c r="D30" s="7" t="n">
        <v>66</v>
      </c>
      <c r="E30" s="8" t="n">
        <v>56</v>
      </c>
      <c r="F30" s="8" t="n">
        <v>81</v>
      </c>
      <c r="G30" s="8" t="n">
        <v>62</v>
      </c>
      <c r="H30" s="5" t="n">
        <f aca="false">SUM(E30:G30)</f>
        <v>199</v>
      </c>
      <c r="I30" s="9" t="n">
        <f aca="false">AVERAGE(E30:G30)</f>
        <v>66.3333333333333</v>
      </c>
      <c r="J30" s="8" t="str">
        <f aca="false">IF(MIN(E30:G30)&gt;=40,"Pass","Fail")</f>
        <v>Pass</v>
      </c>
      <c r="K30" s="8" t="str">
        <f aca="false">IF(OR(I30&lt;60,D30&lt;75,MIN(E30:G30)&lt;40),"Yes","No")</f>
        <v>Yes</v>
      </c>
    </row>
    <row r="31" customFormat="false" ht="15" hidden="false" customHeight="true" outlineLevel="0" collapsed="false">
      <c r="A31" s="5" t="s">
        <v>68</v>
      </c>
      <c r="B31" s="6" t="s">
        <v>69</v>
      </c>
      <c r="C31" s="6" t="s">
        <v>15</v>
      </c>
      <c r="D31" s="7" t="n">
        <v>97</v>
      </c>
      <c r="E31" s="8" t="n">
        <v>72</v>
      </c>
      <c r="F31" s="8" t="n">
        <v>69</v>
      </c>
      <c r="G31" s="8" t="n">
        <v>70</v>
      </c>
      <c r="H31" s="5" t="n">
        <f aca="false">SUM(E31:G31)</f>
        <v>211</v>
      </c>
      <c r="I31" s="9" t="n">
        <f aca="false">AVERAGE(E31:G31)</f>
        <v>70.3333333333333</v>
      </c>
      <c r="J31" s="8" t="str">
        <f aca="false">IF(MIN(E31:G31)&gt;=40,"Pass","Fail")</f>
        <v>Pass</v>
      </c>
      <c r="K31" s="8" t="str">
        <f aca="false">IF(OR(I31&lt;60,D31&lt;75,MIN(E31:G31)&lt;40),"Yes","No")</f>
        <v>No</v>
      </c>
    </row>
    <row r="32" customFormat="false" ht="15" hidden="false" customHeight="true" outlineLevel="0" collapsed="false">
      <c r="A32" s="5" t="s">
        <v>70</v>
      </c>
      <c r="B32" s="6" t="s">
        <v>71</v>
      </c>
      <c r="C32" s="6" t="s">
        <v>18</v>
      </c>
      <c r="D32" s="7" t="n">
        <v>69</v>
      </c>
      <c r="E32" s="8" t="n">
        <v>63</v>
      </c>
      <c r="F32" s="8" t="n">
        <v>51</v>
      </c>
      <c r="G32" s="8" t="n">
        <v>70</v>
      </c>
      <c r="H32" s="5" t="n">
        <f aca="false">SUM(E32:G32)</f>
        <v>184</v>
      </c>
      <c r="I32" s="9" t="n">
        <f aca="false">AVERAGE(E32:G32)</f>
        <v>61.3333333333333</v>
      </c>
      <c r="J32" s="8" t="str">
        <f aca="false">IF(MIN(E32:G32)&gt;=40,"Pass","Fail")</f>
        <v>Pass</v>
      </c>
      <c r="K32" s="8" t="str">
        <f aca="false">IF(OR(I32&lt;60,D32&lt;75,MIN(E32:G32)&lt;40),"Yes","No")</f>
        <v>Yes</v>
      </c>
    </row>
    <row r="33" customFormat="false" ht="15" hidden="false" customHeight="true" outlineLevel="0" collapsed="false">
      <c r="A33" s="5" t="s">
        <v>72</v>
      </c>
      <c r="B33" s="6" t="s">
        <v>73</v>
      </c>
      <c r="C33" s="6" t="s">
        <v>21</v>
      </c>
      <c r="D33" s="7" t="n">
        <v>69</v>
      </c>
      <c r="E33" s="8" t="n">
        <v>90</v>
      </c>
      <c r="F33" s="8" t="n">
        <v>66</v>
      </c>
      <c r="G33" s="8" t="n">
        <v>79</v>
      </c>
      <c r="H33" s="5" t="n">
        <f aca="false">SUM(E33:G33)</f>
        <v>235</v>
      </c>
      <c r="I33" s="9" t="n">
        <f aca="false">AVERAGE(E33:G33)</f>
        <v>78.3333333333333</v>
      </c>
      <c r="J33" s="8" t="str">
        <f aca="false">IF(MIN(E33:G33)&gt;=40,"Pass","Fail")</f>
        <v>Pass</v>
      </c>
      <c r="K33" s="8" t="str">
        <f aca="false">IF(OR(I33&lt;60,D33&lt;75,MIN(E33:G33)&lt;40),"Yes","No")</f>
        <v>Yes</v>
      </c>
    </row>
    <row r="34" customFormat="false" ht="15" hidden="false" customHeight="true" outlineLevel="0" collapsed="false">
      <c r="A34" s="5" t="s">
        <v>74</v>
      </c>
      <c r="B34" s="6" t="s">
        <v>75</v>
      </c>
      <c r="C34" s="6" t="s">
        <v>24</v>
      </c>
      <c r="D34" s="7" t="n">
        <v>62</v>
      </c>
      <c r="E34" s="8" t="n">
        <v>97</v>
      </c>
      <c r="F34" s="8" t="n">
        <v>59</v>
      </c>
      <c r="G34" s="8" t="n">
        <v>71</v>
      </c>
      <c r="H34" s="5" t="n">
        <f aca="false">SUM(E34:G34)</f>
        <v>227</v>
      </c>
      <c r="I34" s="9" t="n">
        <f aca="false">AVERAGE(E34:G34)</f>
        <v>75.6666666666667</v>
      </c>
      <c r="J34" s="8" t="str">
        <f aca="false">IF(MIN(E34:G34)&gt;=40,"Pass","Fail")</f>
        <v>Pass</v>
      </c>
      <c r="K34" s="8" t="str">
        <f aca="false">IF(OR(I34&lt;60,D34&lt;75,MIN(E34:G34)&lt;40),"Yes","No")</f>
        <v>Yes</v>
      </c>
    </row>
    <row r="35" customFormat="false" ht="15" hidden="false" customHeight="true" outlineLevel="0" collapsed="false">
      <c r="A35" s="5" t="s">
        <v>76</v>
      </c>
      <c r="B35" s="6" t="s">
        <v>77</v>
      </c>
      <c r="C35" s="6" t="s">
        <v>27</v>
      </c>
      <c r="D35" s="7" t="n">
        <v>73</v>
      </c>
      <c r="E35" s="8" t="n">
        <v>86</v>
      </c>
      <c r="F35" s="8" t="n">
        <v>61</v>
      </c>
      <c r="G35" s="8" t="n">
        <v>72</v>
      </c>
      <c r="H35" s="5" t="n">
        <f aca="false">SUM(E35:G35)</f>
        <v>219</v>
      </c>
      <c r="I35" s="9" t="n">
        <f aca="false">AVERAGE(E35:G35)</f>
        <v>73</v>
      </c>
      <c r="J35" s="8" t="str">
        <f aca="false">IF(MIN(E35:G35)&gt;=40,"Pass","Fail")</f>
        <v>Pass</v>
      </c>
      <c r="K35" s="8" t="str">
        <f aca="false">IF(OR(I35&lt;60,D35&lt;75,MIN(E35:G35)&lt;40),"Yes","No")</f>
        <v>Yes</v>
      </c>
    </row>
    <row r="36" customFormat="false" ht="15" hidden="false" customHeight="true" outlineLevel="0" collapsed="false">
      <c r="A36" s="5" t="s">
        <v>78</v>
      </c>
      <c r="B36" s="6" t="s">
        <v>79</v>
      </c>
      <c r="C36" s="6" t="s">
        <v>15</v>
      </c>
      <c r="D36" s="7" t="n">
        <v>81</v>
      </c>
      <c r="E36" s="8" t="n">
        <v>79</v>
      </c>
      <c r="F36" s="8" t="n">
        <v>53</v>
      </c>
      <c r="G36" s="8" t="n">
        <v>76</v>
      </c>
      <c r="H36" s="5" t="n">
        <f aca="false">SUM(E36:G36)</f>
        <v>208</v>
      </c>
      <c r="I36" s="9" t="n">
        <f aca="false">AVERAGE(E36:G36)</f>
        <v>69.3333333333333</v>
      </c>
      <c r="J36" s="8" t="str">
        <f aca="false">IF(MIN(E36:G36)&gt;=40,"Pass","Fail")</f>
        <v>Pass</v>
      </c>
      <c r="K36" s="8" t="str">
        <f aca="false">IF(OR(I36&lt;60,D36&lt;75,MIN(E36:G36)&lt;40),"Yes","No")</f>
        <v>No</v>
      </c>
    </row>
    <row r="37" customFormat="false" ht="15" hidden="false" customHeight="true" outlineLevel="0" collapsed="false">
      <c r="A37" s="5" t="s">
        <v>80</v>
      </c>
      <c r="B37" s="6" t="s">
        <v>81</v>
      </c>
      <c r="C37" s="6" t="s">
        <v>18</v>
      </c>
      <c r="D37" s="7" t="n">
        <v>72</v>
      </c>
      <c r="E37" s="8" t="n">
        <v>83</v>
      </c>
      <c r="F37" s="8" t="n">
        <v>43</v>
      </c>
      <c r="G37" s="8" t="n">
        <v>66</v>
      </c>
      <c r="H37" s="5" t="n">
        <f aca="false">SUM(E37:G37)</f>
        <v>192</v>
      </c>
      <c r="I37" s="9" t="n">
        <f aca="false">AVERAGE(E37:G37)</f>
        <v>64</v>
      </c>
      <c r="J37" s="8" t="str">
        <f aca="false">IF(MIN(E37:G37)&gt;=40,"Pass","Fail")</f>
        <v>Pass</v>
      </c>
      <c r="K37" s="8" t="str">
        <f aca="false">IF(OR(I37&lt;60,D37&lt;75,MIN(E37:G37)&lt;40),"Yes","No")</f>
        <v>Yes</v>
      </c>
    </row>
    <row r="38" customFormat="false" ht="15" hidden="false" customHeight="true" outlineLevel="0" collapsed="false">
      <c r="A38" s="5" t="s">
        <v>82</v>
      </c>
      <c r="B38" s="6" t="s">
        <v>83</v>
      </c>
      <c r="C38" s="6" t="s">
        <v>21</v>
      </c>
      <c r="D38" s="7" t="n">
        <v>95</v>
      </c>
      <c r="E38" s="8" t="n">
        <v>86</v>
      </c>
      <c r="F38" s="8" t="n">
        <v>58</v>
      </c>
      <c r="G38" s="8" t="n">
        <v>66</v>
      </c>
      <c r="H38" s="5" t="n">
        <f aca="false">SUM(E38:G38)</f>
        <v>210</v>
      </c>
      <c r="I38" s="9" t="n">
        <f aca="false">AVERAGE(E38:G38)</f>
        <v>70</v>
      </c>
      <c r="J38" s="8" t="str">
        <f aca="false">IF(MIN(E38:G38)&gt;=40,"Pass","Fail")</f>
        <v>Pass</v>
      </c>
      <c r="K38" s="8" t="str">
        <f aca="false">IF(OR(I38&lt;60,D38&lt;75,MIN(E38:G38)&lt;40),"Yes","No")</f>
        <v>No</v>
      </c>
    </row>
    <row r="39" customFormat="false" ht="15" hidden="false" customHeight="true" outlineLevel="0" collapsed="false">
      <c r="A39" s="5" t="s">
        <v>84</v>
      </c>
      <c r="B39" s="6" t="s">
        <v>85</v>
      </c>
      <c r="C39" s="6" t="s">
        <v>24</v>
      </c>
      <c r="D39" s="7" t="n">
        <v>85</v>
      </c>
      <c r="E39" s="8" t="n">
        <v>70</v>
      </c>
      <c r="F39" s="8" t="n">
        <v>88</v>
      </c>
      <c r="G39" s="8" t="n">
        <v>55</v>
      </c>
      <c r="H39" s="5" t="n">
        <f aca="false">SUM(E39:G39)</f>
        <v>213</v>
      </c>
      <c r="I39" s="9" t="n">
        <f aca="false">AVERAGE(E39:G39)</f>
        <v>71</v>
      </c>
      <c r="J39" s="8" t="str">
        <f aca="false">IF(MIN(E39:G39)&gt;=40,"Pass","Fail")</f>
        <v>Pass</v>
      </c>
      <c r="K39" s="8" t="str">
        <f aca="false">IF(OR(I39&lt;60,D39&lt;75,MIN(E39:G39)&lt;40),"Yes","No")</f>
        <v>No</v>
      </c>
    </row>
    <row r="40" customFormat="false" ht="15" hidden="false" customHeight="true" outlineLevel="0" collapsed="false">
      <c r="A40" s="5" t="s">
        <v>86</v>
      </c>
      <c r="B40" s="6" t="s">
        <v>87</v>
      </c>
      <c r="C40" s="6" t="s">
        <v>27</v>
      </c>
      <c r="D40" s="7" t="n">
        <v>81</v>
      </c>
      <c r="E40" s="8" t="n">
        <v>71</v>
      </c>
      <c r="F40" s="8" t="n">
        <v>79</v>
      </c>
      <c r="G40" s="8" t="n">
        <v>67</v>
      </c>
      <c r="H40" s="5" t="n">
        <f aca="false">SUM(E40:G40)</f>
        <v>217</v>
      </c>
      <c r="I40" s="9" t="n">
        <f aca="false">AVERAGE(E40:G40)</f>
        <v>72.3333333333333</v>
      </c>
      <c r="J40" s="8" t="str">
        <f aca="false">IF(MIN(E40:G40)&gt;=40,"Pass","Fail")</f>
        <v>Pass</v>
      </c>
      <c r="K40" s="8" t="str">
        <f aca="false">IF(OR(I40&lt;60,D40&lt;75,MIN(E40:G40)&lt;40),"Yes","No")</f>
        <v>No</v>
      </c>
    </row>
    <row r="41" customFormat="false" ht="15" hidden="false" customHeight="true" outlineLevel="0" collapsed="false">
      <c r="A41" s="5" t="s">
        <v>88</v>
      </c>
      <c r="B41" s="6" t="s">
        <v>89</v>
      </c>
      <c r="C41" s="6" t="s">
        <v>15</v>
      </c>
      <c r="D41" s="7" t="n">
        <v>93</v>
      </c>
      <c r="E41" s="8" t="n">
        <v>68</v>
      </c>
      <c r="F41" s="8" t="n">
        <v>85</v>
      </c>
      <c r="G41" s="8" t="n">
        <v>39</v>
      </c>
      <c r="H41" s="5" t="n">
        <f aca="false">SUM(E41:G41)</f>
        <v>192</v>
      </c>
      <c r="I41" s="9" t="n">
        <f aca="false">AVERAGE(E41:G41)</f>
        <v>64</v>
      </c>
      <c r="J41" s="8" t="str">
        <f aca="false">IF(MIN(E41:G41)&gt;=40,"Pass","Fail")</f>
        <v>Fail</v>
      </c>
      <c r="K41" s="8" t="str">
        <f aca="false">IF(OR(I41&lt;60,D41&lt;75,MIN(E41:G41)&lt;40),"Yes","No")</f>
        <v>Yes</v>
      </c>
    </row>
    <row r="42" customFormat="false" ht="15" hidden="false" customHeight="true" outlineLevel="0" collapsed="false">
      <c r="A42" s="5" t="s">
        <v>90</v>
      </c>
      <c r="B42" s="6" t="s">
        <v>91</v>
      </c>
      <c r="C42" s="6" t="s">
        <v>18</v>
      </c>
      <c r="D42" s="7" t="n">
        <v>96</v>
      </c>
      <c r="E42" s="8" t="n">
        <v>71</v>
      </c>
      <c r="F42" s="8" t="n">
        <v>60</v>
      </c>
      <c r="G42" s="8" t="n">
        <v>56</v>
      </c>
      <c r="H42" s="5" t="n">
        <f aca="false">SUM(E42:G42)</f>
        <v>187</v>
      </c>
      <c r="I42" s="9" t="n">
        <f aca="false">AVERAGE(E42:G42)</f>
        <v>62.3333333333333</v>
      </c>
      <c r="J42" s="8" t="str">
        <f aca="false">IF(MIN(E42:G42)&gt;=40,"Pass","Fail")</f>
        <v>Pass</v>
      </c>
      <c r="K42" s="8" t="str">
        <f aca="false">IF(OR(I42&lt;60,D42&lt;75,MIN(E42:G42)&lt;40),"Yes","No")</f>
        <v>No</v>
      </c>
    </row>
    <row r="43" customFormat="false" ht="15" hidden="false" customHeight="true" outlineLevel="0" collapsed="false">
      <c r="A43" s="5" t="s">
        <v>92</v>
      </c>
      <c r="B43" s="6" t="s">
        <v>93</v>
      </c>
      <c r="C43" s="6" t="s">
        <v>21</v>
      </c>
      <c r="D43" s="7" t="n">
        <v>78</v>
      </c>
      <c r="E43" s="8" t="n">
        <v>73</v>
      </c>
      <c r="F43" s="8" t="n">
        <v>48</v>
      </c>
      <c r="G43" s="8" t="n">
        <v>69</v>
      </c>
      <c r="H43" s="5" t="n">
        <f aca="false">SUM(E43:G43)</f>
        <v>190</v>
      </c>
      <c r="I43" s="9" t="n">
        <f aca="false">AVERAGE(E43:G43)</f>
        <v>63.3333333333333</v>
      </c>
      <c r="J43" s="8" t="str">
        <f aca="false">IF(MIN(E43:G43)&gt;=40,"Pass","Fail")</f>
        <v>Pass</v>
      </c>
      <c r="K43" s="8" t="str">
        <f aca="false">IF(OR(I43&lt;60,D43&lt;75,MIN(E43:G43)&lt;40),"Yes","No")</f>
        <v>No</v>
      </c>
    </row>
    <row r="44" customFormat="false" ht="15" hidden="false" customHeight="true" outlineLevel="0" collapsed="false">
      <c r="A44" s="5" t="s">
        <v>94</v>
      </c>
      <c r="B44" s="6" t="s">
        <v>95</v>
      </c>
      <c r="C44" s="6" t="s">
        <v>24</v>
      </c>
      <c r="D44" s="7" t="n">
        <v>75</v>
      </c>
      <c r="E44" s="8" t="n">
        <v>91</v>
      </c>
      <c r="F44" s="8" t="n">
        <v>57</v>
      </c>
      <c r="G44" s="8" t="n">
        <v>64</v>
      </c>
      <c r="H44" s="5" t="n">
        <f aca="false">SUM(E44:G44)</f>
        <v>212</v>
      </c>
      <c r="I44" s="9" t="n">
        <f aca="false">AVERAGE(E44:G44)</f>
        <v>70.6666666666667</v>
      </c>
      <c r="J44" s="8" t="str">
        <f aca="false">IF(MIN(E44:G44)&gt;=40,"Pass","Fail")</f>
        <v>Pass</v>
      </c>
      <c r="K44" s="8" t="str">
        <f aca="false">IF(OR(I44&lt;60,D44&lt;75,MIN(E44:G44)&lt;40),"Yes","No")</f>
        <v>No</v>
      </c>
    </row>
    <row r="45" customFormat="false" ht="15" hidden="false" customHeight="true" outlineLevel="0" collapsed="false">
      <c r="A45" s="5" t="s">
        <v>96</v>
      </c>
      <c r="B45" s="6" t="s">
        <v>97</v>
      </c>
      <c r="C45" s="6" t="s">
        <v>27</v>
      </c>
      <c r="D45" s="7" t="n">
        <v>87</v>
      </c>
      <c r="E45" s="8" t="n">
        <v>49</v>
      </c>
      <c r="F45" s="8" t="n">
        <v>90</v>
      </c>
      <c r="G45" s="8" t="n">
        <v>71</v>
      </c>
      <c r="H45" s="5" t="n">
        <f aca="false">SUM(E45:G45)</f>
        <v>210</v>
      </c>
      <c r="I45" s="9" t="n">
        <f aca="false">AVERAGE(E45:G45)</f>
        <v>70</v>
      </c>
      <c r="J45" s="8" t="str">
        <f aca="false">IF(MIN(E45:G45)&gt;=40,"Pass","Fail")</f>
        <v>Pass</v>
      </c>
      <c r="K45" s="8" t="str">
        <f aca="false">IF(OR(I45&lt;60,D45&lt;75,MIN(E45:G45)&lt;40),"Yes","No")</f>
        <v>No</v>
      </c>
    </row>
    <row r="46" customFormat="false" ht="15" hidden="false" customHeight="true" outlineLevel="0" collapsed="false">
      <c r="A46" s="5" t="s">
        <v>98</v>
      </c>
      <c r="B46" s="6" t="s">
        <v>99</v>
      </c>
      <c r="C46" s="6" t="s">
        <v>15</v>
      </c>
      <c r="D46" s="7" t="n">
        <v>90</v>
      </c>
      <c r="E46" s="8" t="n">
        <v>82</v>
      </c>
      <c r="F46" s="8" t="n">
        <v>58</v>
      </c>
      <c r="G46" s="8" t="n">
        <v>72</v>
      </c>
      <c r="H46" s="5" t="n">
        <f aca="false">SUM(E46:G46)</f>
        <v>212</v>
      </c>
      <c r="I46" s="9" t="n">
        <f aca="false">AVERAGE(E46:G46)</f>
        <v>70.6666666666667</v>
      </c>
      <c r="J46" s="8" t="str">
        <f aca="false">IF(MIN(E46:G46)&gt;=40,"Pass","Fail")</f>
        <v>Pass</v>
      </c>
      <c r="K46" s="8" t="str">
        <f aca="false">IF(OR(I46&lt;60,D46&lt;75,MIN(E46:G46)&lt;40),"Yes","No")</f>
        <v>No</v>
      </c>
    </row>
    <row r="47" customFormat="false" ht="15" hidden="false" customHeight="true" outlineLevel="0" collapsed="false">
      <c r="A47" s="5" t="s">
        <v>100</v>
      </c>
      <c r="B47" s="6" t="s">
        <v>101</v>
      </c>
      <c r="C47" s="6" t="s">
        <v>18</v>
      </c>
      <c r="D47" s="7" t="n">
        <v>63</v>
      </c>
      <c r="E47" s="8" t="n">
        <v>75</v>
      </c>
      <c r="F47" s="8" t="n">
        <v>59</v>
      </c>
      <c r="G47" s="8" t="n">
        <v>67</v>
      </c>
      <c r="H47" s="5" t="n">
        <f aca="false">SUM(E47:G47)</f>
        <v>201</v>
      </c>
      <c r="I47" s="9" t="n">
        <f aca="false">AVERAGE(E47:G47)</f>
        <v>67</v>
      </c>
      <c r="J47" s="8" t="str">
        <f aca="false">IF(MIN(E47:G47)&gt;=40,"Pass","Fail")</f>
        <v>Pass</v>
      </c>
      <c r="K47" s="8" t="str">
        <f aca="false">IF(OR(I47&lt;60,D47&lt;75,MIN(E47:G47)&lt;40),"Yes","No")</f>
        <v>Yes</v>
      </c>
    </row>
    <row r="48" customFormat="false" ht="15" hidden="false" customHeight="true" outlineLevel="0" collapsed="false">
      <c r="A48" s="5" t="s">
        <v>102</v>
      </c>
      <c r="B48" s="6" t="s">
        <v>103</v>
      </c>
      <c r="C48" s="6" t="s">
        <v>21</v>
      </c>
      <c r="D48" s="7" t="n">
        <v>76</v>
      </c>
      <c r="E48" s="8" t="n">
        <v>92</v>
      </c>
      <c r="F48" s="8" t="n">
        <v>69</v>
      </c>
      <c r="G48" s="8" t="n">
        <v>77</v>
      </c>
      <c r="H48" s="5" t="n">
        <f aca="false">SUM(E48:G48)</f>
        <v>238</v>
      </c>
      <c r="I48" s="9" t="n">
        <f aca="false">AVERAGE(E48:G48)</f>
        <v>79.3333333333333</v>
      </c>
      <c r="J48" s="8" t="str">
        <f aca="false">IF(MIN(E48:G48)&gt;=40,"Pass","Fail")</f>
        <v>Pass</v>
      </c>
      <c r="K48" s="8" t="str">
        <f aca="false">IF(OR(I48&lt;60,D48&lt;75,MIN(E48:G48)&lt;40),"Yes","No")</f>
        <v>No</v>
      </c>
    </row>
    <row r="49" customFormat="false" ht="15" hidden="false" customHeight="true" outlineLevel="0" collapsed="false">
      <c r="A49" s="5" t="s">
        <v>104</v>
      </c>
      <c r="B49" s="6" t="s">
        <v>105</v>
      </c>
      <c r="C49" s="6" t="s">
        <v>24</v>
      </c>
      <c r="D49" s="7" t="n">
        <v>64</v>
      </c>
      <c r="E49" s="8" t="n">
        <v>72</v>
      </c>
      <c r="F49" s="8" t="n">
        <v>72</v>
      </c>
      <c r="G49" s="8" t="n">
        <v>68</v>
      </c>
      <c r="H49" s="5" t="n">
        <f aca="false">SUM(E49:G49)</f>
        <v>212</v>
      </c>
      <c r="I49" s="9" t="n">
        <f aca="false">AVERAGE(E49:G49)</f>
        <v>70.6666666666667</v>
      </c>
      <c r="J49" s="8" t="str">
        <f aca="false">IF(MIN(E49:G49)&gt;=40,"Pass","Fail")</f>
        <v>Pass</v>
      </c>
      <c r="K49" s="8" t="str">
        <f aca="false">IF(OR(I49&lt;60,D49&lt;75,MIN(E49:G49)&lt;40),"Yes","No")</f>
        <v>Yes</v>
      </c>
    </row>
    <row r="50" customFormat="false" ht="15" hidden="false" customHeight="true" outlineLevel="0" collapsed="false">
      <c r="A50" s="5" t="s">
        <v>106</v>
      </c>
      <c r="B50" s="6" t="s">
        <v>107</v>
      </c>
      <c r="C50" s="6" t="s">
        <v>27</v>
      </c>
      <c r="D50" s="7" t="n">
        <v>77</v>
      </c>
      <c r="E50" s="8" t="n">
        <v>67</v>
      </c>
      <c r="F50" s="8" t="n">
        <v>85</v>
      </c>
      <c r="G50" s="8" t="n">
        <v>52</v>
      </c>
      <c r="H50" s="5" t="n">
        <f aca="false">SUM(E50:G50)</f>
        <v>204</v>
      </c>
      <c r="I50" s="9" t="n">
        <f aca="false">AVERAGE(E50:G50)</f>
        <v>68</v>
      </c>
      <c r="J50" s="8" t="str">
        <f aca="false">IF(MIN(E50:G50)&gt;=40,"Pass","Fail")</f>
        <v>Pass</v>
      </c>
      <c r="K50" s="8" t="str">
        <f aca="false">IF(OR(I50&lt;60,D50&lt;75,MIN(E50:G50)&lt;40),"Yes","No")</f>
        <v>No</v>
      </c>
    </row>
    <row r="51" customFormat="false" ht="15" hidden="false" customHeight="true" outlineLevel="0" collapsed="false">
      <c r="A51" s="5" t="s">
        <v>108</v>
      </c>
      <c r="B51" s="6" t="s">
        <v>109</v>
      </c>
      <c r="C51" s="6" t="s">
        <v>15</v>
      </c>
      <c r="D51" s="7" t="n">
        <v>98</v>
      </c>
      <c r="E51" s="8" t="n">
        <v>65</v>
      </c>
      <c r="F51" s="8" t="n">
        <v>58</v>
      </c>
      <c r="G51" s="8" t="n">
        <v>68</v>
      </c>
      <c r="H51" s="5" t="n">
        <f aca="false">SUM(E51:G51)</f>
        <v>191</v>
      </c>
      <c r="I51" s="9" t="n">
        <f aca="false">AVERAGE(E51:G51)</f>
        <v>63.6666666666667</v>
      </c>
      <c r="J51" s="8" t="str">
        <f aca="false">IF(MIN(E51:G51)&gt;=40,"Pass","Fail")</f>
        <v>Pass</v>
      </c>
      <c r="K51" s="8" t="str">
        <f aca="false">IF(OR(I51&lt;60,D51&lt;75,MIN(E51:G51)&lt;40),"Yes","No")</f>
        <v>No</v>
      </c>
    </row>
    <row r="52" customFormat="false" ht="15" hidden="false" customHeight="true" outlineLevel="0" collapsed="false">
      <c r="A52" s="5" t="s">
        <v>110</v>
      </c>
      <c r="B52" s="6" t="s">
        <v>111</v>
      </c>
      <c r="C52" s="6" t="s">
        <v>18</v>
      </c>
      <c r="D52" s="7" t="n">
        <v>92</v>
      </c>
      <c r="E52" s="8" t="n">
        <v>73</v>
      </c>
      <c r="F52" s="8" t="n">
        <v>59</v>
      </c>
      <c r="G52" s="8" t="n">
        <v>83</v>
      </c>
      <c r="H52" s="5" t="n">
        <f aca="false">SUM(E52:G52)</f>
        <v>215</v>
      </c>
      <c r="I52" s="9" t="n">
        <f aca="false">AVERAGE(E52:G52)</f>
        <v>71.6666666666667</v>
      </c>
      <c r="J52" s="8" t="str">
        <f aca="false">IF(MIN(E52:G52)&gt;=40,"Pass","Fail")</f>
        <v>Pass</v>
      </c>
      <c r="K52" s="8" t="str">
        <f aca="false">IF(OR(I52&lt;60,D52&lt;75,MIN(E52:G52)&lt;40),"Yes","No")</f>
        <v>No</v>
      </c>
    </row>
    <row r="53" customFormat="false" ht="15" hidden="false" customHeight="true" outlineLevel="0" collapsed="false">
      <c r="A53" s="5" t="s">
        <v>112</v>
      </c>
      <c r="B53" s="6" t="s">
        <v>113</v>
      </c>
      <c r="C53" s="6" t="s">
        <v>21</v>
      </c>
      <c r="D53" s="7" t="n">
        <v>89</v>
      </c>
      <c r="E53" s="8" t="n">
        <v>79</v>
      </c>
      <c r="F53" s="8" t="n">
        <v>43</v>
      </c>
      <c r="G53" s="8" t="n">
        <v>86</v>
      </c>
      <c r="H53" s="5" t="n">
        <f aca="false">SUM(E53:G53)</f>
        <v>208</v>
      </c>
      <c r="I53" s="9" t="n">
        <f aca="false">AVERAGE(E53:G53)</f>
        <v>69.3333333333333</v>
      </c>
      <c r="J53" s="8" t="str">
        <f aca="false">IF(MIN(E53:G53)&gt;=40,"Pass","Fail")</f>
        <v>Pass</v>
      </c>
      <c r="K53" s="8" t="str">
        <f aca="false">IF(OR(I53&lt;60,D53&lt;75,MIN(E53:G53)&lt;40),"Yes","No")</f>
        <v>No</v>
      </c>
    </row>
    <row r="54" customFormat="false" ht="15" hidden="false" customHeight="true" outlineLevel="0" collapsed="false">
      <c r="A54" s="5" t="s">
        <v>114</v>
      </c>
      <c r="B54" s="6" t="s">
        <v>115</v>
      </c>
      <c r="C54" s="6" t="s">
        <v>24</v>
      </c>
      <c r="D54" s="7" t="n">
        <v>65</v>
      </c>
      <c r="E54" s="8" t="n">
        <v>51</v>
      </c>
      <c r="F54" s="8" t="n">
        <v>30</v>
      </c>
      <c r="G54" s="8" t="n">
        <v>83</v>
      </c>
      <c r="H54" s="5" t="n">
        <f aca="false">SUM(E54:G54)</f>
        <v>164</v>
      </c>
      <c r="I54" s="9" t="n">
        <f aca="false">AVERAGE(E54:G54)</f>
        <v>54.6666666666667</v>
      </c>
      <c r="J54" s="8" t="str">
        <f aca="false">IF(MIN(E54:G54)&gt;=40,"Pass","Fail")</f>
        <v>Fail</v>
      </c>
      <c r="K54" s="8" t="str">
        <f aca="false">IF(OR(I54&lt;60,D54&lt;75,MIN(E54:G54)&lt;40),"Yes","No")</f>
        <v>Yes</v>
      </c>
    </row>
    <row r="55" customFormat="false" ht="15" hidden="false" customHeight="true" outlineLevel="0" collapsed="false">
      <c r="A55" s="5" t="s">
        <v>116</v>
      </c>
      <c r="B55" s="6" t="s">
        <v>117</v>
      </c>
      <c r="C55" s="6" t="s">
        <v>27</v>
      </c>
      <c r="D55" s="7" t="n">
        <v>83</v>
      </c>
      <c r="E55" s="8" t="n">
        <v>78</v>
      </c>
      <c r="F55" s="8" t="n">
        <v>70</v>
      </c>
      <c r="G55" s="8" t="n">
        <v>66</v>
      </c>
      <c r="H55" s="5" t="n">
        <f aca="false">SUM(E55:G55)</f>
        <v>214</v>
      </c>
      <c r="I55" s="9" t="n">
        <f aca="false">AVERAGE(E55:G55)</f>
        <v>71.3333333333333</v>
      </c>
      <c r="J55" s="8" t="str">
        <f aca="false">IF(MIN(E55:G55)&gt;=40,"Pass","Fail")</f>
        <v>Pass</v>
      </c>
      <c r="K55" s="8" t="str">
        <f aca="false">IF(OR(I55&lt;60,D55&lt;75,MIN(E55:G55)&lt;40),"Yes","No")</f>
        <v>No</v>
      </c>
    </row>
  </sheetData>
  <mergeCells count="2">
    <mergeCell ref="A1:K1"/>
    <mergeCell ref="A2:K2"/>
  </mergeCells>
  <conditionalFormatting sqref="D6:D55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E6:G55">
    <cfRule type="colorScale" priority="3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J6:J55">
    <cfRule type="cellIs" priority="4" operator="equal" aboveAverage="0" equalAverage="0" bottom="0" percent="0" rank="0" text="" dxfId="63">
      <formula>"Fail"</formula>
    </cfRule>
    <cfRule type="cellIs" priority="5" operator="equal" aboveAverage="0" equalAverage="0" bottom="0" percent="0" rank="0" text="" dxfId="64">
      <formula>"Pass"</formula>
    </cfRule>
  </conditionalFormatting>
  <conditionalFormatting sqref="K6:K55">
    <cfRule type="cellIs" priority="6" operator="equal" aboveAverage="0" equalAverage="0" bottom="0" percent="0" rank="0" text="" dxfId="65">
      <formula>"Yes"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"/>
    <col collapsed="false" customWidth="true" hidden="false" outlineLevel="0" max="7" min="7" style="1" width="24"/>
    <col collapsed="false" customWidth="true" hidden="false" outlineLevel="0" max="9" min="8" style="1" width="14"/>
    <col collapsed="false" customWidth="true" hidden="false" outlineLevel="0" max="10" min="10" style="1" width="18"/>
  </cols>
  <sheetData>
    <row r="1" customFormat="false" ht="33.75" hidden="false" customHeight="true" outlineLevel="0" collapsed="false">
      <c r="A1" s="10" t="s">
        <v>118</v>
      </c>
      <c r="B1" s="10"/>
      <c r="C1" s="10"/>
      <c r="D1" s="10"/>
      <c r="E1" s="10"/>
      <c r="F1" s="10"/>
      <c r="G1" s="10"/>
      <c r="H1" s="10"/>
    </row>
    <row r="3" customFormat="false" ht="15" hidden="false" customHeight="true" outlineLevel="0" collapsed="false">
      <c r="A3" s="11" t="s">
        <v>119</v>
      </c>
      <c r="B3" s="11"/>
      <c r="C3" s="11" t="s">
        <v>120</v>
      </c>
      <c r="D3" s="11"/>
      <c r="E3" s="11" t="s">
        <v>121</v>
      </c>
      <c r="F3" s="11"/>
      <c r="G3" s="11" t="s">
        <v>122</v>
      </c>
      <c r="H3" s="11"/>
    </row>
    <row r="4" customFormat="false" ht="21.75" hidden="false" customHeight="true" outlineLevel="0" collapsed="false">
      <c r="A4" s="12" t="n">
        <f aca="false">COUNTA('Student Data'!A6:A55)</f>
        <v>50</v>
      </c>
      <c r="B4" s="12"/>
      <c r="C4" s="13" t="n">
        <f aca="false">COUNTIF('Student Data'!J6:J55,"Pass")/COUNTA('Student Data'!A6:A55)</f>
        <v>0.96</v>
      </c>
      <c r="D4" s="13"/>
      <c r="E4" s="14" t="n">
        <f aca="false">AVERAGE('Student Data'!I6:I55)</f>
        <v>70.1066666666667</v>
      </c>
      <c r="F4" s="14"/>
      <c r="G4" s="13" t="n">
        <f aca="false">AVERAGE('Student Data'!D6:D55)/100</f>
        <v>0.8004</v>
      </c>
      <c r="H4" s="13"/>
    </row>
    <row r="7" customFormat="false" ht="17.25" hidden="false" customHeight="true" outlineLevel="0" collapsed="false">
      <c r="A7" s="15" t="s">
        <v>123</v>
      </c>
      <c r="G7" s="15" t="s">
        <v>124</v>
      </c>
    </row>
    <row r="8" customFormat="false" ht="15" hidden="false" customHeight="true" outlineLevel="0" collapsed="false">
      <c r="A8" s="16" t="s">
        <v>125</v>
      </c>
      <c r="B8" s="16" t="s">
        <v>6</v>
      </c>
      <c r="C8" s="16" t="s">
        <v>7</v>
      </c>
      <c r="D8" s="16" t="s">
        <v>8</v>
      </c>
      <c r="G8" s="16" t="s">
        <v>126</v>
      </c>
      <c r="H8" s="16" t="s">
        <v>127</v>
      </c>
      <c r="I8" s="16" t="s">
        <v>10</v>
      </c>
    </row>
    <row r="9" customFormat="false" ht="15" hidden="false" customHeight="true" outlineLevel="0" collapsed="false">
      <c r="A9" s="9" t="s">
        <v>10</v>
      </c>
      <c r="B9" s="9" t="n">
        <f aca="false">AVERAGE('Student Data'!E6:E55)</f>
        <v>72.3</v>
      </c>
      <c r="C9" s="9" t="n">
        <f aca="false">AVERAGE('Student Data'!F6:F55)</f>
        <v>66.8</v>
      </c>
      <c r="D9" s="9" t="n">
        <f aca="false">AVERAGE('Student Data'!G6:G55)</f>
        <v>71.22</v>
      </c>
      <c r="G9" s="5" t="n">
        <v>1</v>
      </c>
      <c r="H9" s="5" t="str">
        <f aca="false">INDEX('Student Data'!$B$6:$B$55,MATCH(I9,'Student Data'!$I$6:$I$55,0))</f>
        <v>Krishna Verma</v>
      </c>
      <c r="I9" s="9" t="n">
        <f aca="false">LARGE('Student Data'!$I$6:$I$55,G9)</f>
        <v>88.6666666666667</v>
      </c>
    </row>
    <row r="10" customFormat="false" ht="15" hidden="false" customHeight="true" outlineLevel="0" collapsed="false">
      <c r="A10" s="9" t="s">
        <v>128</v>
      </c>
      <c r="B10" s="9" t="n">
        <f aca="false">MAX('Student Data'!E6:E55)</f>
        <v>97</v>
      </c>
      <c r="C10" s="9" t="n">
        <f aca="false">MAX('Student Data'!F6:F55)</f>
        <v>92</v>
      </c>
      <c r="D10" s="9" t="n">
        <f aca="false">MAX('Student Data'!G6:G55)</f>
        <v>98</v>
      </c>
      <c r="G10" s="5" t="n">
        <v>2</v>
      </c>
      <c r="H10" s="5" t="str">
        <f aca="false">INDEX('Student Data'!$B$6:$B$55,MATCH(I10,'Student Data'!$I$6:$I$55,0))</f>
        <v>Ved Das</v>
      </c>
      <c r="I10" s="9" t="n">
        <f aca="false">LARGE('Student Data'!$I$6:$I$55,G10)</f>
        <v>84.6666666666667</v>
      </c>
    </row>
    <row r="11" customFormat="false" ht="15" hidden="false" customHeight="true" outlineLevel="0" collapsed="false">
      <c r="A11" s="9" t="s">
        <v>129</v>
      </c>
      <c r="B11" s="9" t="n">
        <f aca="false">MIN('Student Data'!E6:E55)</f>
        <v>47</v>
      </c>
      <c r="C11" s="9" t="n">
        <f aca="false">MIN('Student Data'!F6:F55)</f>
        <v>30</v>
      </c>
      <c r="D11" s="9" t="n">
        <f aca="false">MIN('Student Data'!G6:G55)</f>
        <v>39</v>
      </c>
      <c r="G11" s="5" t="n">
        <v>3</v>
      </c>
      <c r="H11" s="5" t="str">
        <f aca="false">INDEX('Student Data'!$B$6:$B$55,MATCH(I11,'Student Data'!$I$6:$I$55,0))</f>
        <v>Aditi Das</v>
      </c>
      <c r="I11" s="9" t="n">
        <f aca="false">LARGE('Student Data'!$I$6:$I$55,G11)</f>
        <v>84.3333333333333</v>
      </c>
    </row>
    <row r="12" customFormat="false" ht="15" hidden="false" customHeight="true" outlineLevel="0" collapsed="false">
      <c r="A12" s="5" t="s">
        <v>130</v>
      </c>
      <c r="B12" s="5" t="n">
        <f aca="false">COUNTIF('Student Data'!E6:E55,"&gt;=40")</f>
        <v>50</v>
      </c>
      <c r="C12" s="5" t="n">
        <f aca="false">COUNTIF('Student Data'!F6:F55,"&gt;=40")</f>
        <v>49</v>
      </c>
      <c r="D12" s="5" t="n">
        <f aca="false">COUNTIF('Student Data'!G6:G55,"&gt;=40")</f>
        <v>49</v>
      </c>
      <c r="G12" s="5" t="n">
        <v>4</v>
      </c>
      <c r="H12" s="5" t="str">
        <f aca="false">INDEX('Student Data'!$B$6:$B$55,MATCH(I12,'Student Data'!$I$6:$I$55,0))</f>
        <v>Riya Gupta</v>
      </c>
      <c r="I12" s="9" t="n">
        <f aca="false">LARGE('Student Data'!$I$6:$I$55,G12)</f>
        <v>83</v>
      </c>
    </row>
    <row r="13" customFormat="false" ht="15" hidden="false" customHeight="true" outlineLevel="0" collapsed="false">
      <c r="G13" s="5" t="n">
        <v>5</v>
      </c>
      <c r="H13" s="5" t="str">
        <f aca="false">INDEX('Student Data'!$B$6:$B$55,MATCH(I13,'Student Data'!$I$6:$I$55,0))</f>
        <v>Shreya Verma</v>
      </c>
      <c r="I13" s="9" t="n">
        <f aca="false">LARGE('Student Data'!$I$6:$I$55,G13)</f>
        <v>81.6666666666667</v>
      </c>
    </row>
    <row r="14" customFormat="false" ht="15" hidden="false" customHeight="true" outlineLevel="0" collapsed="false">
      <c r="G14" s="5" t="n">
        <v>6</v>
      </c>
      <c r="H14" s="5" t="str">
        <f aca="false">INDEX('Student Data'!$B$6:$B$55,MATCH(I14,'Student Data'!$I$6:$I$55,0))</f>
        <v>Ritika Singh</v>
      </c>
      <c r="I14" s="9" t="n">
        <f aca="false">LARGE('Student Data'!$I$6:$I$55,G14)</f>
        <v>79.3333333333333</v>
      </c>
    </row>
    <row r="15" customFormat="false" ht="17.25" hidden="false" customHeight="true" outlineLevel="0" collapsed="false">
      <c r="A15" s="15" t="s">
        <v>131</v>
      </c>
      <c r="G15" s="5" t="n">
        <v>7</v>
      </c>
      <c r="H15" s="5" t="str">
        <f aca="false">INDEX('Student Data'!$B$6:$B$55,MATCH(I15,'Student Data'!$I$6:$I$55,0))</f>
        <v>Ira Saha</v>
      </c>
      <c r="I15" s="9" t="n">
        <f aca="false">LARGE('Student Data'!$I$6:$I$55,G15)</f>
        <v>78.3333333333333</v>
      </c>
    </row>
    <row r="16" customFormat="false" ht="15" hidden="false" customHeight="true" outlineLevel="0" collapsed="false">
      <c r="A16" s="16" t="s">
        <v>132</v>
      </c>
      <c r="B16" s="16" t="s">
        <v>133</v>
      </c>
      <c r="C16" s="16" t="s">
        <v>134</v>
      </c>
      <c r="D16" s="16" t="s">
        <v>122</v>
      </c>
      <c r="E16" s="16" t="s">
        <v>120</v>
      </c>
      <c r="G16" s="5" t="n">
        <v>8</v>
      </c>
      <c r="H16" s="5" t="str">
        <f aca="false">INDEX('Student Data'!$B$6:$B$55,MATCH(I16,'Student Data'!$I$6:$I$55,0))</f>
        <v>Sanya Saha</v>
      </c>
      <c r="I16" s="9" t="n">
        <f aca="false">LARGE('Student Data'!$I$6:$I$55,G16)</f>
        <v>76</v>
      </c>
    </row>
    <row r="17" customFormat="false" ht="15" hidden="false" customHeight="true" outlineLevel="0" collapsed="false">
      <c r="A17" s="5" t="s">
        <v>15</v>
      </c>
      <c r="B17" s="5" t="n">
        <f aca="false">COUNTIF('Student Data'!C6:C55,A17)</f>
        <v>10</v>
      </c>
      <c r="C17" s="9" t="n">
        <f aca="false">AVERAGEIF('Student Data'!C6:C55,A17,'Student Data'!I6:I55)</f>
        <v>67.5666666666667</v>
      </c>
      <c r="D17" s="17" t="n">
        <f aca="false">AVERAGEIF('Student Data'!C6:C55,A17,'Student Data'!D6:D55)/100</f>
        <v>0.869</v>
      </c>
      <c r="E17" s="17" t="n">
        <f aca="false">COUNTIFS('Student Data'!C6:C55,A17,'Student Data'!J6:J55,"Pass")/B17</f>
        <v>0.9</v>
      </c>
      <c r="G17" s="5" t="n">
        <v>9</v>
      </c>
      <c r="H17" s="5" t="str">
        <f aca="false">INDEX('Student Data'!$B$6:$B$55,MATCH(I17,'Student Data'!$I$6:$I$55,0))</f>
        <v>Aarav Sharma</v>
      </c>
      <c r="I17" s="9" t="n">
        <f aca="false">LARGE('Student Data'!$I$6:$I$55,G17)</f>
        <v>75.6666666666667</v>
      </c>
    </row>
    <row r="18" customFormat="false" ht="15" hidden="false" customHeight="true" outlineLevel="0" collapsed="false">
      <c r="A18" s="5" t="s">
        <v>18</v>
      </c>
      <c r="B18" s="5" t="n">
        <f aca="false">COUNTIF('Student Data'!C6:C55,A18)</f>
        <v>10</v>
      </c>
      <c r="C18" s="9" t="n">
        <f aca="false">AVERAGEIF('Student Data'!C6:C55,A18,'Student Data'!I6:I55)</f>
        <v>70.7666666666667</v>
      </c>
      <c r="D18" s="17" t="n">
        <f aca="false">AVERAGEIF('Student Data'!C6:C55,A18,'Student Data'!D6:D55)/100</f>
        <v>0.789</v>
      </c>
      <c r="E18" s="17" t="n">
        <f aca="false">COUNTIFS('Student Data'!C6:C55,A18,'Student Data'!J6:J55,"Pass")/B18</f>
        <v>1</v>
      </c>
      <c r="G18" s="5" t="n">
        <v>10</v>
      </c>
      <c r="H18" s="5" t="str">
        <f aca="false">INDEX('Student Data'!$B$6:$B$55,MATCH(I18,'Student Data'!$I$6:$I$55,0))</f>
        <v>Aarav Sharma</v>
      </c>
      <c r="I18" s="9" t="n">
        <f aca="false">LARGE('Student Data'!$I$6:$I$55,G18)</f>
        <v>75.6666666666667</v>
      </c>
    </row>
    <row r="19" customFormat="false" ht="15" hidden="false" customHeight="true" outlineLevel="0" collapsed="false">
      <c r="A19" s="5" t="s">
        <v>21</v>
      </c>
      <c r="B19" s="5" t="n">
        <f aca="false">COUNTIF('Student Data'!C6:C55,A19)</f>
        <v>10</v>
      </c>
      <c r="C19" s="9" t="n">
        <f aca="false">AVERAGEIF('Student Data'!C6:C55,A19,'Student Data'!I6:I55)</f>
        <v>71.3666666666667</v>
      </c>
      <c r="D19" s="17" t="n">
        <f aca="false">AVERAGEIF('Student Data'!C6:C55,A19,'Student Data'!D6:D55)/100</f>
        <v>0.802</v>
      </c>
      <c r="E19" s="17" t="n">
        <f aca="false">COUNTIFS('Student Data'!C6:C55,A19,'Student Data'!J6:J55,"Pass")/B19</f>
        <v>1</v>
      </c>
    </row>
    <row r="20" customFormat="false" ht="15" hidden="false" customHeight="true" outlineLevel="0" collapsed="false">
      <c r="A20" s="5" t="s">
        <v>24</v>
      </c>
      <c r="B20" s="5" t="n">
        <f aca="false">COUNTIF('Student Data'!C6:C55,A20)</f>
        <v>10</v>
      </c>
      <c r="C20" s="9" t="n">
        <f aca="false">AVERAGEIF('Student Data'!C6:C55,A20,'Student Data'!I6:I55)</f>
        <v>70.1666666666667</v>
      </c>
      <c r="D20" s="17" t="n">
        <f aca="false">AVERAGEIF('Student Data'!C6:C55,A20,'Student Data'!D6:D55)/100</f>
        <v>0.763</v>
      </c>
      <c r="E20" s="17" t="n">
        <f aca="false">COUNTIFS('Student Data'!C6:C55,A20,'Student Data'!J6:J55,"Pass")/B20</f>
        <v>0.9</v>
      </c>
    </row>
    <row r="21" customFormat="false" ht="17.25" hidden="false" customHeight="true" outlineLevel="0" collapsed="false">
      <c r="A21" s="5" t="s">
        <v>27</v>
      </c>
      <c r="B21" s="5" t="n">
        <f aca="false">COUNTIF('Student Data'!C6:C55,A21)</f>
        <v>10</v>
      </c>
      <c r="C21" s="9" t="n">
        <f aca="false">AVERAGEIF('Student Data'!C6:C55,A21,'Student Data'!I6:I55)</f>
        <v>70.6666666666667</v>
      </c>
      <c r="D21" s="17" t="n">
        <f aca="false">AVERAGEIF('Student Data'!C6:C55,A21,'Student Data'!D6:D55)/100</f>
        <v>0.779</v>
      </c>
      <c r="E21" s="17" t="n">
        <f aca="false">COUNTIFS('Student Data'!C6:C55,A21,'Student Data'!J6:J55,"Pass")/B21</f>
        <v>1</v>
      </c>
      <c r="G21" s="15" t="s">
        <v>135</v>
      </c>
    </row>
    <row r="22" customFormat="false" ht="15" hidden="false" customHeight="true" outlineLevel="0" collapsed="false">
      <c r="G22" s="16" t="s">
        <v>127</v>
      </c>
      <c r="H22" s="16" t="s">
        <v>136</v>
      </c>
      <c r="I22" s="16" t="s">
        <v>10</v>
      </c>
      <c r="J22" s="16" t="s">
        <v>137</v>
      </c>
    </row>
    <row r="23" customFormat="false" ht="15" hidden="false" customHeight="true" outlineLevel="0" collapsed="false">
      <c r="G23" s="18" t="str">
        <f aca="false">IFERROR(INDEX('Student Data'!$B$6:$B$55,aggregate(15,6,(ROW('Student Data'!$B$6:$B$55)-ROW('Student Data'!$B$6)+1)/('Student Data'!$K$6:$K$55="Yes"),ROWS($G$23:G23))),"")</f>
        <v/>
      </c>
      <c r="H23" s="19" t="str">
        <f aca="false">IF(G23="","",INDEX('Student Data'!$D$6:$D$55,MATCH(G23,'Student Data'!$B$6:$B$55,0))/100)</f>
        <v/>
      </c>
      <c r="I23" s="20" t="str">
        <f aca="false">IF(G23="","",INDEX('Student Data'!$I$6:$I$55,MATCH(G23,'Student Data'!$B$6:$B$55,0)))</f>
        <v/>
      </c>
      <c r="J23" s="18" t="str">
        <f aca="false">IF(G23="","",IF(H23&lt;75%,"Low attendance",IF(I23&lt;60,"Low average","Weak subject")))</f>
        <v/>
      </c>
    </row>
    <row r="24" customFormat="false" ht="15" hidden="false" customHeight="true" outlineLevel="0" collapsed="false">
      <c r="G24" s="18" t="str">
        <f aca="false">IFERROR(INDEX('Student Data'!$B$6:$B$55,aggregate(15,6,(ROW('Student Data'!$B$6:$B$55)-ROW('Student Data'!$B$6)+1)/('Student Data'!$K$6:$K$55="Yes"),ROWS($G$23:G24))),"")</f>
        <v/>
      </c>
      <c r="H24" s="19" t="str">
        <f aca="false">IF(G24="","",INDEX('Student Data'!$D$6:$D$55,MATCH(G24,'Student Data'!$B$6:$B$55,0))/100)</f>
        <v/>
      </c>
      <c r="I24" s="20" t="str">
        <f aca="false">IF(G24="","",INDEX('Student Data'!$I$6:$I$55,MATCH(G24,'Student Data'!$B$6:$B$55,0)))</f>
        <v/>
      </c>
      <c r="J24" s="18" t="str">
        <f aca="false">IF(G24="","",IF(H24&lt;75%,"Low attendance",IF(I24&lt;60,"Low average","Weak subject")))</f>
        <v/>
      </c>
    </row>
    <row r="25" customFormat="false" ht="15" hidden="false" customHeight="true" outlineLevel="0" collapsed="false">
      <c r="A25" s="21" t="s">
        <v>138</v>
      </c>
      <c r="B25" s="21"/>
      <c r="C25" s="21"/>
      <c r="D25" s="21"/>
      <c r="E25" s="21"/>
      <c r="G25" s="18" t="str">
        <f aca="false">IFERROR(INDEX('Student Data'!$B$6:$B$55,aggregate(15,6,(ROW('Student Data'!$B$6:$B$55)-ROW('Student Data'!$B$6)+1)/('Student Data'!$K$6:$K$55="Yes"),ROWS($G$23:G25))),"")</f>
        <v/>
      </c>
      <c r="H25" s="19" t="str">
        <f aca="false">IF(G25="","",INDEX('Student Data'!$D$6:$D$55,MATCH(G25,'Student Data'!$B$6:$B$55,0))/100)</f>
        <v/>
      </c>
      <c r="I25" s="20" t="str">
        <f aca="false">IF(G25="","",INDEX('Student Data'!$I$6:$I$55,MATCH(G25,'Student Data'!$B$6:$B$55,0)))</f>
        <v/>
      </c>
      <c r="J25" s="18" t="str">
        <f aca="false">IF(G25="","",IF(H25&lt;75%,"Low attendance",IF(I25&lt;60,"Low average","Weak subject")))</f>
        <v/>
      </c>
    </row>
    <row r="26" customFormat="false" ht="15" hidden="false" customHeight="true" outlineLevel="0" collapsed="false">
      <c r="A26" s="21"/>
      <c r="B26" s="21"/>
      <c r="C26" s="21"/>
      <c r="D26" s="21"/>
      <c r="E26" s="21"/>
      <c r="G26" s="18" t="str">
        <f aca="false">IFERROR(INDEX('Student Data'!$B$6:$B$55,aggregate(15,6,(ROW('Student Data'!$B$6:$B$55)-ROW('Student Data'!$B$6)+1)/('Student Data'!$K$6:$K$55="Yes"),ROWS($G$23:G26))),"")</f>
        <v/>
      </c>
      <c r="H26" s="19" t="str">
        <f aca="false">IF(G26="","",INDEX('Student Data'!$D$6:$D$55,MATCH(G26,'Student Data'!$B$6:$B$55,0))/100)</f>
        <v/>
      </c>
      <c r="I26" s="20" t="str">
        <f aca="false">IF(G26="","",INDEX('Student Data'!$I$6:$I$55,MATCH(G26,'Student Data'!$B$6:$B$55,0)))</f>
        <v/>
      </c>
      <c r="J26" s="18" t="str">
        <f aca="false">IF(G26="","",IF(H26&lt;75%,"Low attendance",IF(I26&lt;60,"Low average","Weak subject")))</f>
        <v/>
      </c>
    </row>
    <row r="27" customFormat="false" ht="15" hidden="false" customHeight="true" outlineLevel="0" collapsed="false">
      <c r="A27" s="21"/>
      <c r="B27" s="21"/>
      <c r="C27" s="21"/>
      <c r="D27" s="21"/>
      <c r="E27" s="21"/>
      <c r="G27" s="18" t="str">
        <f aca="false">IFERROR(INDEX('Student Data'!$B$6:$B$55,aggregate(15,6,(ROW('Student Data'!$B$6:$B$55)-ROW('Student Data'!$B$6)+1)/('Student Data'!$K$6:$K$55="Yes"),ROWS($G$23:G27))),"")</f>
        <v/>
      </c>
      <c r="H27" s="19" t="str">
        <f aca="false">IF(G27="","",INDEX('Student Data'!$D$6:$D$55,MATCH(G27,'Student Data'!$B$6:$B$55,0))/100)</f>
        <v/>
      </c>
      <c r="I27" s="20" t="str">
        <f aca="false">IF(G27="","",INDEX('Student Data'!$I$6:$I$55,MATCH(G27,'Student Data'!$B$6:$B$55,0)))</f>
        <v/>
      </c>
      <c r="J27" s="18" t="str">
        <f aca="false">IF(G27="","",IF(H27&lt;75%,"Low attendance",IF(I27&lt;60,"Low average","Weak subject")))</f>
        <v/>
      </c>
    </row>
    <row r="28" customFormat="false" ht="15" hidden="false" customHeight="true" outlineLevel="0" collapsed="false">
      <c r="G28" s="18" t="str">
        <f aca="false">IFERROR(INDEX('Student Data'!$B$6:$B$55,aggregate(15,6,(ROW('Student Data'!$B$6:$B$55)-ROW('Student Data'!$B$6)+1)/('Student Data'!$K$6:$K$55="Yes"),ROWS($G$23:G28))),"")</f>
        <v/>
      </c>
      <c r="H28" s="19" t="str">
        <f aca="false">IF(G28="","",INDEX('Student Data'!$D$6:$D$55,MATCH(G28,'Student Data'!$B$6:$B$55,0))/100)</f>
        <v/>
      </c>
      <c r="I28" s="20" t="str">
        <f aca="false">IF(G28="","",INDEX('Student Data'!$I$6:$I$55,MATCH(G28,'Student Data'!$B$6:$B$55,0)))</f>
        <v/>
      </c>
      <c r="J28" s="18" t="str">
        <f aca="false">IF(G28="","",IF(H28&lt;75%,"Low attendance",IF(I28&lt;60,"Low average","Weak subject")))</f>
        <v/>
      </c>
    </row>
    <row r="29" customFormat="false" ht="15" hidden="false" customHeight="true" outlineLevel="0" collapsed="false">
      <c r="G29" s="18" t="str">
        <f aca="false">IFERROR(INDEX('Student Data'!$B$6:$B$55,aggregate(15,6,(ROW('Student Data'!$B$6:$B$55)-ROW('Student Data'!$B$6)+1)/('Student Data'!$K$6:$K$55="Yes"),ROWS($G$23:G29))),"")</f>
        <v/>
      </c>
      <c r="H29" s="19" t="str">
        <f aca="false">IF(G29="","",INDEX('Student Data'!$D$6:$D$55,MATCH(G29,'Student Data'!$B$6:$B$55,0))/100)</f>
        <v/>
      </c>
      <c r="I29" s="20" t="str">
        <f aca="false">IF(G29="","",INDEX('Student Data'!$I$6:$I$55,MATCH(G29,'Student Data'!$B$6:$B$55,0)))</f>
        <v/>
      </c>
      <c r="J29" s="18" t="str">
        <f aca="false">IF(G29="","",IF(H29&lt;75%,"Low attendance",IF(I29&lt;60,"Low average","Weak subject")))</f>
        <v/>
      </c>
    </row>
    <row r="30" customFormat="false" ht="15" hidden="false" customHeight="true" outlineLevel="0" collapsed="false">
      <c r="G30" s="18" t="str">
        <f aca="false">IFERROR(INDEX('Student Data'!$B$6:$B$55,aggregate(15,6,(ROW('Student Data'!$B$6:$B$55)-ROW('Student Data'!$B$6)+1)/('Student Data'!$K$6:$K$55="Yes"),ROWS($G$23:G30))),"")</f>
        <v/>
      </c>
      <c r="H30" s="19" t="str">
        <f aca="false">IF(G30="","",INDEX('Student Data'!$D$6:$D$55,MATCH(G30,'Student Data'!$B$6:$B$55,0))/100)</f>
        <v/>
      </c>
      <c r="I30" s="20" t="str">
        <f aca="false">IF(G30="","",INDEX('Student Data'!$I$6:$I$55,MATCH(G30,'Student Data'!$B$6:$B$55,0)))</f>
        <v/>
      </c>
      <c r="J30" s="18" t="str">
        <f aca="false">IF(G30="","",IF(H30&lt;75%,"Low attendance",IF(I30&lt;60,"Low average","Weak subject")))</f>
        <v/>
      </c>
    </row>
    <row r="31" customFormat="false" ht="15" hidden="false" customHeight="true" outlineLevel="0" collapsed="false">
      <c r="G31" s="18" t="str">
        <f aca="false">IFERROR(INDEX('Student Data'!$B$6:$B$55,aggregate(15,6,(ROW('Student Data'!$B$6:$B$55)-ROW('Student Data'!$B$6)+1)/('Student Data'!$K$6:$K$55="Yes"),ROWS($G$23:G31))),"")</f>
        <v/>
      </c>
      <c r="H31" s="19" t="str">
        <f aca="false">IF(G31="","",INDEX('Student Data'!$D$6:$D$55,MATCH(G31,'Student Data'!$B$6:$B$55,0))/100)</f>
        <v/>
      </c>
      <c r="I31" s="20" t="str">
        <f aca="false">IF(G31="","",INDEX('Student Data'!$I$6:$I$55,MATCH(G31,'Student Data'!$B$6:$B$55,0)))</f>
        <v/>
      </c>
      <c r="J31" s="18" t="str">
        <f aca="false">IF(G31="","",IF(H31&lt;75%,"Low attendance",IF(I31&lt;60,"Low average","Weak subject")))</f>
        <v/>
      </c>
    </row>
    <row r="32" customFormat="false" ht="15" hidden="false" customHeight="true" outlineLevel="0" collapsed="false">
      <c r="G32" s="18" t="str">
        <f aca="false">IFERROR(INDEX('Student Data'!$B$6:$B$55,aggregate(15,6,(ROW('Student Data'!$B$6:$B$55)-ROW('Student Data'!$B$6)+1)/('Student Data'!$K$6:$K$55="Yes"),ROWS($G$23:G32))),"")</f>
        <v/>
      </c>
      <c r="H32" s="19" t="str">
        <f aca="false">IF(G32="","",INDEX('Student Data'!$D$6:$D$55,MATCH(G32,'Student Data'!$B$6:$B$55,0))/100)</f>
        <v/>
      </c>
      <c r="I32" s="20" t="str">
        <f aca="false">IF(G32="","",INDEX('Student Data'!$I$6:$I$55,MATCH(G32,'Student Data'!$B$6:$B$55,0)))</f>
        <v/>
      </c>
      <c r="J32" s="18" t="str">
        <f aca="false">IF(G32="","",IF(H32&lt;75%,"Low attendance",IF(I32&lt;60,"Low average","Weak subject")))</f>
        <v/>
      </c>
    </row>
    <row r="34" customFormat="false" ht="17.35" hidden="false" customHeight="false" outlineLevel="0" collapsed="false">
      <c r="A34" s="22" t="s">
        <v>139</v>
      </c>
    </row>
    <row r="35" customFormat="false" ht="15" hidden="false" customHeight="false" outlineLevel="0" collapsed="false">
      <c r="A35" s="23" t="s">
        <v>140</v>
      </c>
      <c r="B35" s="23" t="s">
        <v>141</v>
      </c>
    </row>
    <row r="36" customFormat="false" ht="15" hidden="false" customHeight="false" outlineLevel="0" collapsed="false">
      <c r="A36" s="24" t="s">
        <v>142</v>
      </c>
      <c r="B36" s="24" t="n">
        <f aca="false">COUNTIF('Student Data'!J6:J55,"Pass")</f>
        <v>48</v>
      </c>
    </row>
    <row r="37" customFormat="false" ht="15" hidden="false" customHeight="false" outlineLevel="0" collapsed="false">
      <c r="A37" s="24" t="s">
        <v>143</v>
      </c>
      <c r="B37" s="24" t="n">
        <f aca="false">COUNTIF('Student Data'!J6:J55,"Fail")</f>
        <v>2</v>
      </c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25:E27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42" hidden="false" customHeight="true" outlineLevel="0" collapsed="false">
      <c r="A1" s="25" t="s">
        <v>144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15" hidden="false" customHeight="true" outlineLevel="0" collapsed="false">
      <c r="A2" s="26" t="s">
        <v>145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customFormat="false" ht="15" hidden="false" customHeight="true" outlineLevel="0" collapsed="false">
      <c r="A4" s="11" t="s">
        <v>119</v>
      </c>
      <c r="B4" s="11"/>
      <c r="C4" s="11"/>
      <c r="D4" s="11" t="s">
        <v>120</v>
      </c>
      <c r="E4" s="11"/>
      <c r="F4" s="11"/>
      <c r="G4" s="11" t="s">
        <v>121</v>
      </c>
      <c r="H4" s="11"/>
      <c r="I4" s="11"/>
      <c r="J4" s="11" t="s">
        <v>122</v>
      </c>
      <c r="K4" s="11"/>
      <c r="L4" s="11"/>
    </row>
    <row r="5" customFormat="false" ht="24" hidden="false" customHeight="true" outlineLevel="0" collapsed="false">
      <c r="A5" s="27" t="n">
        <f aca="false">Analysis!A4</f>
        <v>50</v>
      </c>
      <c r="B5" s="27"/>
      <c r="C5" s="27"/>
      <c r="D5" s="28" t="n">
        <f aca="false">Analysis!C4</f>
        <v>0.96</v>
      </c>
      <c r="E5" s="28"/>
      <c r="F5" s="28"/>
      <c r="G5" s="29" t="n">
        <f aca="false">Analysis!E4</f>
        <v>70.1066666666667</v>
      </c>
      <c r="H5" s="29"/>
      <c r="I5" s="29"/>
      <c r="J5" s="28" t="n">
        <f aca="false">Analysis!G4</f>
        <v>0.8004</v>
      </c>
      <c r="K5" s="28"/>
      <c r="L5" s="28"/>
    </row>
    <row r="40" customFormat="false" ht="15" hidden="false" customHeight="true" outlineLevel="0" collapsed="false">
      <c r="A40" s="30"/>
      <c r="G40" s="22" t="s">
        <v>124</v>
      </c>
    </row>
    <row r="41" customFormat="false" ht="15" hidden="false" customHeight="false" outlineLevel="0" collapsed="false">
      <c r="G41" s="23" t="s">
        <v>126</v>
      </c>
      <c r="H41" s="23" t="s">
        <v>127</v>
      </c>
      <c r="I41" s="23" t="s">
        <v>10</v>
      </c>
    </row>
    <row r="42" customFormat="false" ht="15" hidden="false" customHeight="false" outlineLevel="0" collapsed="false">
      <c r="G42" s="24" t="n">
        <f aca="false">Analysis!G9</f>
        <v>1</v>
      </c>
      <c r="H42" s="24" t="str">
        <f aca="false">Analysis!H9</f>
        <v>Krishna Verma</v>
      </c>
      <c r="I42" s="31" t="n">
        <f aca="false">Analysis!I9</f>
        <v>88.6666666666667</v>
      </c>
    </row>
    <row r="43" customFormat="false" ht="15" hidden="false" customHeight="false" outlineLevel="0" collapsed="false">
      <c r="G43" s="24" t="n">
        <f aca="false">Analysis!G10</f>
        <v>2</v>
      </c>
      <c r="H43" s="24" t="str">
        <f aca="false">Analysis!H10</f>
        <v>Ved Das</v>
      </c>
      <c r="I43" s="31" t="n">
        <f aca="false">Analysis!I10</f>
        <v>84.6666666666667</v>
      </c>
    </row>
    <row r="44" customFormat="false" ht="15" hidden="false" customHeight="false" outlineLevel="0" collapsed="false">
      <c r="G44" s="24" t="n">
        <f aca="false">Analysis!G11</f>
        <v>3</v>
      </c>
      <c r="H44" s="24" t="str">
        <f aca="false">Analysis!H11</f>
        <v>Aditi Das</v>
      </c>
      <c r="I44" s="31" t="n">
        <f aca="false">Analysis!I11</f>
        <v>84.3333333333333</v>
      </c>
    </row>
    <row r="45" customFormat="false" ht="15" hidden="false" customHeight="false" outlineLevel="0" collapsed="false">
      <c r="G45" s="24" t="n">
        <f aca="false">Analysis!G12</f>
        <v>4</v>
      </c>
      <c r="H45" s="24" t="str">
        <f aca="false">Analysis!H12</f>
        <v>Riya Gupta</v>
      </c>
      <c r="I45" s="31" t="n">
        <f aca="false">Analysis!I12</f>
        <v>83</v>
      </c>
    </row>
    <row r="46" customFormat="false" ht="15" hidden="false" customHeight="false" outlineLevel="0" collapsed="false">
      <c r="G46" s="24" t="n">
        <f aca="false">Analysis!G13</f>
        <v>5</v>
      </c>
      <c r="H46" s="24" t="str">
        <f aca="false">Analysis!H13</f>
        <v>Shreya Verma</v>
      </c>
      <c r="I46" s="31" t="n">
        <f aca="false">Analysis!I13</f>
        <v>81.6666666666667</v>
      </c>
    </row>
    <row r="47" customFormat="false" ht="15" hidden="false" customHeight="false" outlineLevel="0" collapsed="false">
      <c r="G47" s="24" t="n">
        <f aca="false">Analysis!G14</f>
        <v>6</v>
      </c>
      <c r="H47" s="24" t="str">
        <f aca="false">Analysis!H14</f>
        <v>Ritika Singh</v>
      </c>
      <c r="I47" s="31" t="n">
        <f aca="false">Analysis!I14</f>
        <v>79.3333333333333</v>
      </c>
    </row>
    <row r="48" customFormat="false" ht="15" hidden="false" customHeight="false" outlineLevel="0" collapsed="false">
      <c r="G48" s="24" t="n">
        <f aca="false">Analysis!G15</f>
        <v>7</v>
      </c>
      <c r="H48" s="24" t="str">
        <f aca="false">Analysis!H15</f>
        <v>Ira Saha</v>
      </c>
      <c r="I48" s="31" t="n">
        <f aca="false">Analysis!I15</f>
        <v>78.3333333333333</v>
      </c>
    </row>
    <row r="49" customFormat="false" ht="15" hidden="false" customHeight="false" outlineLevel="0" collapsed="false">
      <c r="G49" s="24" t="n">
        <f aca="false">Analysis!G16</f>
        <v>8</v>
      </c>
      <c r="H49" s="24" t="str">
        <f aca="false">Analysis!H16</f>
        <v>Sanya Saha</v>
      </c>
      <c r="I49" s="31" t="n">
        <f aca="false">Analysis!I16</f>
        <v>76</v>
      </c>
    </row>
    <row r="50" customFormat="false" ht="15" hidden="false" customHeight="false" outlineLevel="0" collapsed="false">
      <c r="G50" s="24" t="n">
        <f aca="false">Analysis!G17</f>
        <v>9</v>
      </c>
      <c r="H50" s="24" t="str">
        <f aca="false">Analysis!H17</f>
        <v>Aarav Sharma</v>
      </c>
      <c r="I50" s="31" t="n">
        <f aca="false">Analysis!I17</f>
        <v>75.6666666666667</v>
      </c>
    </row>
    <row r="51" customFormat="false" ht="15" hidden="false" customHeight="false" outlineLevel="0" collapsed="false">
      <c r="G51" s="24" t="n">
        <f aca="false">Analysis!G18</f>
        <v>10</v>
      </c>
      <c r="H51" s="24" t="str">
        <f aca="false">Analysis!H18</f>
        <v>Aarav Sharma</v>
      </c>
      <c r="I51" s="31" t="n">
        <f aca="false">Analysis!I18</f>
        <v>75.6666666666667</v>
      </c>
    </row>
    <row r="57" customFormat="false" ht="15" hidden="false" customHeight="false" outlineLevel="0" collapsed="false">
      <c r="A57" s="32" t="s">
        <v>146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</sheetData>
  <mergeCells count="11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57:L57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2026-09-11T19:30:57Z</dcterms:created>
  <dc:creator>openpyxl</dc:creator>
  <dc:description/>
  <dc:language>en-US</dc:language>
  <cp:lastModifiedBy/>
  <dcterms:modified xsi:type="dcterms:W3CDTF">2026-09-12T16:02:09Z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